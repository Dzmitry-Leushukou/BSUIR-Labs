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\BSUIR-Labs\Processing of experimental data\Lab 3\"/>
    </mc:Choice>
  </mc:AlternateContent>
  <xr:revisionPtr revIDLastSave="0" documentId="13_ncr:1_{3D512294-4F3A-4BF1-9A09-2741C0A3CF22}" xr6:coauthVersionLast="47" xr6:coauthVersionMax="47" xr10:uidLastSave="{00000000-0000-0000-0000-000000000000}"/>
  <bookViews>
    <workbookView xWindow="-108" yWindow="-108" windowWidth="23256" windowHeight="13896" activeTab="1" xr2:uid="{68418C94-6E50-41DE-9C16-B716F6666BB9}"/>
  </bookViews>
  <sheets>
    <sheet name="Part1" sheetId="1" r:id="rId1"/>
    <sheet name="Par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3" i="1" l="1"/>
  <c r="G104" i="1"/>
  <c r="G105" i="1"/>
  <c r="G106" i="1"/>
  <c r="G107" i="1"/>
  <c r="G108" i="1"/>
  <c r="G109" i="1"/>
  <c r="G110" i="1"/>
  <c r="G102" i="1"/>
  <c r="E103" i="1"/>
  <c r="E104" i="1"/>
  <c r="E105" i="1"/>
  <c r="E106" i="1"/>
  <c r="E107" i="1"/>
  <c r="E108" i="1"/>
  <c r="E109" i="1"/>
  <c r="E110" i="1"/>
  <c r="E102" i="1"/>
  <c r="D102" i="1"/>
  <c r="H103" i="1"/>
  <c r="H104" i="1"/>
  <c r="H105" i="1"/>
  <c r="H106" i="1"/>
  <c r="H107" i="1"/>
  <c r="H108" i="1"/>
  <c r="H109" i="1"/>
  <c r="H110" i="1"/>
  <c r="H102" i="1"/>
  <c r="F103" i="1"/>
  <c r="F104" i="1"/>
  <c r="F105" i="1"/>
  <c r="F106" i="1"/>
  <c r="F107" i="1"/>
  <c r="F108" i="1"/>
  <c r="F109" i="1"/>
  <c r="F110" i="1"/>
  <c r="F102" i="1"/>
  <c r="D103" i="1"/>
  <c r="D104" i="1"/>
  <c r="D105" i="1"/>
  <c r="D106" i="1"/>
  <c r="D107" i="1"/>
  <c r="D108" i="1"/>
  <c r="D109" i="1"/>
  <c r="D110" i="1"/>
  <c r="C103" i="1"/>
  <c r="C104" i="1"/>
  <c r="C105" i="1"/>
  <c r="C106" i="1"/>
  <c r="C107" i="1"/>
  <c r="C108" i="1"/>
  <c r="C109" i="1"/>
  <c r="C110" i="1"/>
  <c r="C102" i="1"/>
  <c r="B103" i="1"/>
  <c r="B104" i="1"/>
  <c r="B105" i="1"/>
  <c r="B106" i="1"/>
  <c r="B107" i="1"/>
  <c r="B108" i="1"/>
  <c r="B109" i="1"/>
  <c r="B110" i="1"/>
  <c r="B102" i="1"/>
  <c r="H96" i="1"/>
  <c r="B98" i="1"/>
  <c r="B97" i="1"/>
  <c r="B96" i="1"/>
  <c r="B90" i="1"/>
  <c r="H87" i="1"/>
  <c r="H86" i="1"/>
  <c r="H85" i="1"/>
  <c r="G87" i="1"/>
  <c r="G86" i="1"/>
  <c r="G85" i="1"/>
  <c r="F87" i="1"/>
  <c r="F86" i="1"/>
  <c r="F85" i="1"/>
  <c r="E85" i="1"/>
  <c r="E87" i="1"/>
  <c r="E86" i="1"/>
  <c r="N86" i="1"/>
  <c r="N85" i="1"/>
  <c r="B86" i="1"/>
  <c r="B87" i="1"/>
  <c r="B85" i="1"/>
  <c r="D75" i="1"/>
  <c r="B81" i="1"/>
  <c r="B80" i="1"/>
  <c r="M55" i="1"/>
  <c r="M74" i="1" s="1"/>
  <c r="M56" i="1"/>
  <c r="M57" i="1"/>
  <c r="M58" i="1"/>
  <c r="M59" i="1"/>
  <c r="M60" i="1"/>
  <c r="M61" i="1"/>
  <c r="M62" i="1"/>
  <c r="M63" i="1"/>
  <c r="M64" i="1"/>
  <c r="M75" i="1" s="1"/>
  <c r="M65" i="1"/>
  <c r="M66" i="1"/>
  <c r="M67" i="1"/>
  <c r="M68" i="1"/>
  <c r="M69" i="1"/>
  <c r="M70" i="1"/>
  <c r="M71" i="1"/>
  <c r="M72" i="1"/>
  <c r="M73" i="1"/>
  <c r="M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75" i="1" s="1"/>
  <c r="K69" i="1"/>
  <c r="K74" i="1" s="1"/>
  <c r="K70" i="1"/>
  <c r="K71" i="1"/>
  <c r="K72" i="1"/>
  <c r="K73" i="1"/>
  <c r="K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54" i="1"/>
  <c r="L75" i="1"/>
  <c r="L74" i="1"/>
  <c r="C75" i="1"/>
  <c r="G68" i="1" s="1"/>
  <c r="B75" i="1"/>
  <c r="E71" i="1" s="1"/>
  <c r="C74" i="1"/>
  <c r="B74" i="1"/>
  <c r="G73" i="1"/>
  <c r="H73" i="1" s="1"/>
  <c r="E73" i="1"/>
  <c r="I73" i="1" s="1"/>
  <c r="D73" i="1"/>
  <c r="G72" i="1"/>
  <c r="H72" i="1" s="1"/>
  <c r="E72" i="1"/>
  <c r="I72" i="1" s="1"/>
  <c r="D72" i="1"/>
  <c r="G71" i="1"/>
  <c r="H71" i="1" s="1"/>
  <c r="D71" i="1"/>
  <c r="G70" i="1"/>
  <c r="H70" i="1" s="1"/>
  <c r="E70" i="1"/>
  <c r="I70" i="1" s="1"/>
  <c r="D70" i="1"/>
  <c r="G69" i="1"/>
  <c r="H69" i="1" s="1"/>
  <c r="E69" i="1"/>
  <c r="I69" i="1" s="1"/>
  <c r="D69" i="1"/>
  <c r="E68" i="1"/>
  <c r="F68" i="1" s="1"/>
  <c r="D68" i="1"/>
  <c r="I67" i="1"/>
  <c r="G67" i="1"/>
  <c r="H67" i="1" s="1"/>
  <c r="F67" i="1"/>
  <c r="E67" i="1"/>
  <c r="D67" i="1"/>
  <c r="H66" i="1"/>
  <c r="G66" i="1"/>
  <c r="E66" i="1"/>
  <c r="I66" i="1" s="1"/>
  <c r="D66" i="1"/>
  <c r="G65" i="1"/>
  <c r="H65" i="1" s="1"/>
  <c r="E65" i="1"/>
  <c r="I65" i="1" s="1"/>
  <c r="D65" i="1"/>
  <c r="H64" i="1"/>
  <c r="G64" i="1"/>
  <c r="E64" i="1"/>
  <c r="I64" i="1" s="1"/>
  <c r="D64" i="1"/>
  <c r="G63" i="1"/>
  <c r="H63" i="1" s="1"/>
  <c r="D63" i="1"/>
  <c r="G62" i="1"/>
  <c r="H62" i="1" s="1"/>
  <c r="E62" i="1"/>
  <c r="I62" i="1" s="1"/>
  <c r="D62" i="1"/>
  <c r="G61" i="1"/>
  <c r="H61" i="1" s="1"/>
  <c r="E61" i="1"/>
  <c r="I61" i="1" s="1"/>
  <c r="D61" i="1"/>
  <c r="E60" i="1"/>
  <c r="F60" i="1" s="1"/>
  <c r="D60" i="1"/>
  <c r="I59" i="1"/>
  <c r="G59" i="1"/>
  <c r="H59" i="1" s="1"/>
  <c r="F59" i="1"/>
  <c r="E59" i="1"/>
  <c r="D59" i="1"/>
  <c r="G58" i="1"/>
  <c r="H58" i="1" s="1"/>
  <c r="E58" i="1"/>
  <c r="F58" i="1" s="1"/>
  <c r="D58" i="1"/>
  <c r="D74" i="1" s="1"/>
  <c r="G57" i="1"/>
  <c r="H57" i="1" s="1"/>
  <c r="E57" i="1"/>
  <c r="I57" i="1" s="1"/>
  <c r="D57" i="1"/>
  <c r="H56" i="1"/>
  <c r="G56" i="1"/>
  <c r="E56" i="1"/>
  <c r="I56" i="1" s="1"/>
  <c r="D56" i="1"/>
  <c r="G55" i="1"/>
  <c r="H55" i="1" s="1"/>
  <c r="D55" i="1"/>
  <c r="G54" i="1"/>
  <c r="H54" i="1" s="1"/>
  <c r="E54" i="1"/>
  <c r="I54" i="1" s="1"/>
  <c r="D54" i="1"/>
  <c r="D50" i="1"/>
  <c r="D49" i="1"/>
  <c r="I26" i="1"/>
  <c r="I27" i="1"/>
  <c r="I28" i="1"/>
  <c r="I29" i="1"/>
  <c r="I30" i="1"/>
  <c r="I31" i="1"/>
  <c r="I32" i="1"/>
  <c r="I46" i="1" s="1"/>
  <c r="I33" i="1"/>
  <c r="I45" i="1" s="1"/>
  <c r="I34" i="1"/>
  <c r="I35" i="1"/>
  <c r="I36" i="1"/>
  <c r="I37" i="1"/>
  <c r="I38" i="1"/>
  <c r="I39" i="1"/>
  <c r="I40" i="1"/>
  <c r="I41" i="1"/>
  <c r="I42" i="1"/>
  <c r="I43" i="1"/>
  <c r="I44" i="1"/>
  <c r="I25" i="1"/>
  <c r="H26" i="1"/>
  <c r="H27" i="1"/>
  <c r="H28" i="1"/>
  <c r="H29" i="1"/>
  <c r="H30" i="1"/>
  <c r="H45" i="1" s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25" i="1"/>
  <c r="G42" i="1"/>
  <c r="G44" i="1"/>
  <c r="G43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5" i="1"/>
  <c r="E42" i="1"/>
  <c r="E44" i="1"/>
  <c r="E43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D46" i="1"/>
  <c r="D45" i="1"/>
  <c r="C46" i="1"/>
  <c r="C45" i="1"/>
  <c r="B46" i="1"/>
  <c r="B4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5" i="1"/>
  <c r="O7" i="1"/>
  <c r="N5" i="1"/>
  <c r="N4" i="1"/>
  <c r="J75" i="1" l="1"/>
  <c r="J74" i="1"/>
  <c r="I71" i="1"/>
  <c r="F71" i="1"/>
  <c r="H68" i="1"/>
  <c r="I68" i="1"/>
  <c r="F61" i="1"/>
  <c r="F69" i="1"/>
  <c r="I58" i="1"/>
  <c r="F56" i="1"/>
  <c r="F64" i="1"/>
  <c r="F72" i="1"/>
  <c r="F66" i="1"/>
  <c r="F54" i="1"/>
  <c r="F62" i="1"/>
  <c r="F70" i="1"/>
  <c r="F65" i="1"/>
  <c r="F57" i="1"/>
  <c r="F73" i="1"/>
  <c r="E55" i="1"/>
  <c r="G60" i="1"/>
  <c r="E63" i="1"/>
  <c r="H46" i="1"/>
  <c r="G45" i="1"/>
  <c r="G46" i="1"/>
  <c r="F46" i="1"/>
  <c r="F45" i="1"/>
  <c r="E45" i="1"/>
  <c r="E46" i="1"/>
  <c r="N3" i="1"/>
  <c r="H60" i="1" l="1"/>
  <c r="I60" i="1"/>
  <c r="G74" i="1"/>
  <c r="I63" i="1"/>
  <c r="F63" i="1"/>
  <c r="E75" i="1"/>
  <c r="E74" i="1"/>
  <c r="I55" i="1"/>
  <c r="F55" i="1"/>
  <c r="F75" i="1" s="1"/>
  <c r="G75" i="1"/>
  <c r="I75" i="1" l="1"/>
  <c r="I74" i="1"/>
  <c r="H75" i="1"/>
  <c r="H74" i="1"/>
  <c r="F74" i="1"/>
</calcChain>
</file>

<file path=xl/sharedStrings.xml><?xml version="1.0" encoding="utf-8"?>
<sst xmlns="http://schemas.openxmlformats.org/spreadsheetml/2006/main" count="134" uniqueCount="105">
  <si>
    <t>t</t>
  </si>
  <si>
    <t>yt</t>
  </si>
  <si>
    <t>xt</t>
  </si>
  <si>
    <t>a1=</t>
  </si>
  <si>
    <t>delta(x)=</t>
  </si>
  <si>
    <t>delta(y)=</t>
  </si>
  <si>
    <t>Задание 3</t>
  </si>
  <si>
    <t>a0=y1-x1*a1</t>
  </si>
  <si>
    <t xml:space="preserve">тогда а0 = </t>
  </si>
  <si>
    <t>Задание 4</t>
  </si>
  <si>
    <t>xt^2</t>
  </si>
  <si>
    <t>xt-xa</t>
  </si>
  <si>
    <t>xa - x avg</t>
  </si>
  <si>
    <t>(xt-xa)^2</t>
  </si>
  <si>
    <t>ya - y avg</t>
  </si>
  <si>
    <t>yt-ya</t>
  </si>
  <si>
    <t>(yt-ya)^2</t>
  </si>
  <si>
    <t>(xt-xa)(yt-ya)</t>
  </si>
  <si>
    <t>Среднее</t>
  </si>
  <si>
    <t>Сумма</t>
  </si>
  <si>
    <t>Задание 5</t>
  </si>
  <si>
    <t>a1=Sxy/Sxx</t>
  </si>
  <si>
    <t>=&gt;</t>
  </si>
  <si>
    <t>a0=ya-xa*a1</t>
  </si>
  <si>
    <t>a0 =</t>
  </si>
  <si>
    <t>a1 =</t>
  </si>
  <si>
    <t>yh - y hat</t>
  </si>
  <si>
    <t>yht</t>
  </si>
  <si>
    <t>et</t>
  </si>
  <si>
    <t>et^2</t>
  </si>
  <si>
    <t>st^2</t>
  </si>
  <si>
    <t>Задание 6-7</t>
  </si>
  <si>
    <t>s1- несмещённая оценка дисперсии переменной a1</t>
  </si>
  <si>
    <t>Задание 8-9</t>
  </si>
  <si>
    <t>s0- несмещённая оценка дисперсии переменной a0</t>
  </si>
  <si>
    <t>s1^2=</t>
  </si>
  <si>
    <t>s0^2=</t>
  </si>
  <si>
    <t>y</t>
  </si>
  <si>
    <t>Да</t>
  </si>
  <si>
    <t>tнабл &gt; t крит</t>
  </si>
  <si>
    <t>t крит</t>
  </si>
  <si>
    <t>Значим а1?</t>
  </si>
  <si>
    <t>tнабл1=</t>
  </si>
  <si>
    <t>tнабл0=</t>
  </si>
  <si>
    <t>Значим а0?</t>
  </si>
  <si>
    <t>Задание 10-14</t>
  </si>
  <si>
    <t>ДИа1 Н</t>
  </si>
  <si>
    <t>ДИа1 В</t>
  </si>
  <si>
    <t>ДИа0 Н</t>
  </si>
  <si>
    <t>ДИа0 В</t>
  </si>
  <si>
    <t>Задание 15</t>
  </si>
  <si>
    <t>R^2=</t>
  </si>
  <si>
    <t>Это высокий показатель, указывающий на хорошее качество подгонки модели к данным.</t>
  </si>
  <si>
    <r>
      <t>Коэффициент детерминации показывает долю дисперсии зависимой переменно</t>
    </r>
    <r>
      <rPr>
        <sz val="11"/>
        <rFont val="Aptos Narrow"/>
        <family val="2"/>
        <charset val="204"/>
        <scheme val="minor"/>
      </rPr>
      <t>й</t>
    </r>
    <r>
      <rPr>
        <sz val="10"/>
        <rFont val="Segoe UI"/>
        <family val="2"/>
        <charset val="204"/>
      </rPr>
      <t xml:space="preserve">, объяснённую моделью. </t>
    </r>
  </si>
  <si>
    <t xml:space="preserve"> Значение R2=0,8371 означает, что модель объясняет 83,7% вариации.</t>
  </si>
  <si>
    <t>Значима?</t>
  </si>
  <si>
    <t>F=</t>
  </si>
  <si>
    <t>Задание 16-17</t>
  </si>
  <si>
    <t>x</t>
  </si>
  <si>
    <t>yh</t>
  </si>
  <si>
    <t>ДИН1</t>
  </si>
  <si>
    <t>ДИВ1</t>
  </si>
  <si>
    <t>ДИН2</t>
  </si>
  <si>
    <t>ДИВ2</t>
  </si>
  <si>
    <t>ДИН3</t>
  </si>
  <si>
    <t>ДИВ3</t>
  </si>
  <si>
    <t>Задание 18-19</t>
  </si>
  <si>
    <t>Задание 20</t>
  </si>
  <si>
    <t>Задание 21</t>
  </si>
  <si>
    <t>Построенный график остатков свидетельствует об отсутствии явной автокорреляции и систематического тренда.</t>
  </si>
  <si>
    <t xml:space="preserve"> Остатки распределены случайным образом относительно нулевой линии, их дисперсия визуально стабильна (гомоскедастичность). </t>
  </si>
  <si>
    <t>Это позволяет считать предпосылки метода наименьших квадратов выполненными, а модель – адекватной.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</si>
  <si>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</si>
  <si>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</si>
  <si>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</si>
  <si>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</si>
  <si>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</si>
  <si>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</si>
  <si>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</si>
  <si>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</si>
  <si>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</si>
  <si>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</si>
  <si>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</si>
  <si>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</si>
  <si>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</si>
  <si>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</si>
  <si>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</si>
  <si>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</si>
  <si>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</si>
  <si>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</si>
  <si>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</si>
  <si>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</si>
  <si>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</si>
  <si>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</si>
  <si>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</si>
  <si>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</si>
  <si>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</si>
  <si>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ВЫВОД ОСТАТКА</t>
  </si>
  <si>
    <t>Наблюдение</t>
  </si>
  <si>
    <t>Предсказанное Y</t>
  </si>
  <si>
    <t>Остатки</t>
  </si>
  <si>
    <t>На графике остатки расположены случайным образом вокруг нулевой линии, отсутствует систематический тренд (например, сначала все отрицательные, потом положительные)</t>
  </si>
  <si>
    <t xml:space="preserve"> и не видно изменения разброса (гомоскедастичность). </t>
  </si>
  <si>
    <t xml:space="preserve">Это говорит о том, что предпосылки метода наименьших квадратов выполняются: остатки независимы, имеют постоянную дисперсию и в среднем равны нулю. </t>
  </si>
  <si>
    <t>Следовательно, построенная модель линейной регрессии адекватна и может использоваться для прогнозирования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</si>
</sst>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0"/>
      <color rgb="FFF9FAFB"/>
      <name val="Segoe UI"/>
      <family val="2"/>
      <charset val="204"/>
    </font>
    <font>
      <sz val="11"/>
      <name val="Aptos Narrow"/>
      <family val="2"/>
      <charset val="204"/>
      <scheme val="minor"/>
    </font>
    <font>
      <sz val="10"/>
      <name val="Segoe UI"/>
      <family val="2"/>
      <charset val="204"/>
    </font>
    <font>
      <i/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Задание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yt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Part1!$B$2:$B$22</c:f>
              <c:numCache>
                <c:formatCode>General</c:formatCode>
                <c:ptCount val="21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18</c:v>
                </c:pt>
                <c:pt idx="5">
                  <c:v>15</c:v>
                </c:pt>
                <c:pt idx="6">
                  <c:v>14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18</c:v>
                </c:pt>
                <c:pt idx="15">
                  <c:v>20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14</c:v>
                </c:pt>
              </c:numCache>
            </c:numRef>
          </c:xVal>
          <c:yVal>
            <c:numRef>
              <c:f>Part1!$C$2:$C$21</c:f>
              <c:numCache>
                <c:formatCode>General</c:formatCode>
                <c:ptCount val="20"/>
                <c:pt idx="0">
                  <c:v>222</c:v>
                </c:pt>
                <c:pt idx="1">
                  <c:v>241</c:v>
                </c:pt>
                <c:pt idx="2">
                  <c:v>243</c:v>
                </c:pt>
                <c:pt idx="3">
                  <c:v>285</c:v>
                </c:pt>
                <c:pt idx="4">
                  <c:v>253</c:v>
                </c:pt>
                <c:pt idx="5">
                  <c:v>247</c:v>
                </c:pt>
                <c:pt idx="6">
                  <c:v>246</c:v>
                </c:pt>
                <c:pt idx="7">
                  <c:v>276</c:v>
                </c:pt>
                <c:pt idx="8">
                  <c:v>261</c:v>
                </c:pt>
                <c:pt idx="9">
                  <c:v>254</c:v>
                </c:pt>
                <c:pt idx="10">
                  <c:v>229</c:v>
                </c:pt>
                <c:pt idx="11">
                  <c:v>249</c:v>
                </c:pt>
                <c:pt idx="12">
                  <c:v>252</c:v>
                </c:pt>
                <c:pt idx="13">
                  <c:v>279</c:v>
                </c:pt>
                <c:pt idx="14">
                  <c:v>262</c:v>
                </c:pt>
                <c:pt idx="15">
                  <c:v>275</c:v>
                </c:pt>
                <c:pt idx="16">
                  <c:v>211</c:v>
                </c:pt>
                <c:pt idx="17">
                  <c:v>229</c:v>
                </c:pt>
                <c:pt idx="18">
                  <c:v>218</c:v>
                </c:pt>
                <c:pt idx="19">
                  <c:v>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F3-4E14-ADE7-8F01E5F4B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96192"/>
        <c:axId val="164696672"/>
      </c:scatterChart>
      <c:valAx>
        <c:axId val="164696192"/>
        <c:scaling>
          <c:orientation val="minMax"/>
          <c:max val="20"/>
          <c:min val="1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64696672"/>
        <c:crosses val="autoZero"/>
        <c:crossBetween val="midCat"/>
      </c:valAx>
      <c:valAx>
        <c:axId val="164696672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6469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График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Part1!$A$102:$A$110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Part1!$B$102:$B$110</c:f>
              <c:numCache>
                <c:formatCode>General</c:formatCode>
                <c:ptCount val="9"/>
                <c:pt idx="0">
                  <c:v>217.97467792092402</c:v>
                </c:pt>
                <c:pt idx="1">
                  <c:v>225.82541092847623</c:v>
                </c:pt>
                <c:pt idx="2">
                  <c:v>233.67614393602844</c:v>
                </c:pt>
                <c:pt idx="3">
                  <c:v>241.52687694358065</c:v>
                </c:pt>
                <c:pt idx="4">
                  <c:v>249.37760995113283</c:v>
                </c:pt>
                <c:pt idx="5">
                  <c:v>257.228342958685</c:v>
                </c:pt>
                <c:pt idx="6">
                  <c:v>265.07907596623721</c:v>
                </c:pt>
                <c:pt idx="7">
                  <c:v>272.92980897378942</c:v>
                </c:pt>
                <c:pt idx="8">
                  <c:v>280.78054198134163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74A-48AF-B3CB-4112901C19E1}"/>
            </c:ext>
          </c:extLst>
        </c:ser>
        <c:ser>
          <c:idx val="0"/>
          <c:order val="1"/>
          <c:tx>
            <c:v>ДИН1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Part1!$A$102:$A$110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Part1!$C$102:$C$110</c:f>
              <c:numCache>
                <c:formatCode>General</c:formatCode>
                <c:ptCount val="9"/>
                <c:pt idx="0">
                  <c:v>211.57266457010775</c:v>
                </c:pt>
                <c:pt idx="1">
                  <c:v>220.57587069721512</c:v>
                </c:pt>
                <c:pt idx="2">
                  <c:v>229.41727564940459</c:v>
                </c:pt>
                <c:pt idx="3">
                  <c:v>237.95943608582644</c:v>
                </c:pt>
                <c:pt idx="4">
                  <c:v>246.01253963806056</c:v>
                </c:pt>
                <c:pt idx="5">
                  <c:v>253.49616518989521</c:v>
                </c:pt>
                <c:pt idx="6">
                  <c:v>260.54663817500835</c:v>
                </c:pt>
                <c:pt idx="7">
                  <c:v>267.34722690878999</c:v>
                </c:pt>
                <c:pt idx="8">
                  <c:v>274.0132795037124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74A-48AF-B3CB-4112901C19E1}"/>
            </c:ext>
          </c:extLst>
        </c:ser>
        <c:ser>
          <c:idx val="2"/>
          <c:order val="2"/>
          <c:tx>
            <c:v>ДИН2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Part1!$A$102:$A$110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Part1!$E$102:$E$110</c:f>
              <c:numCache>
                <c:formatCode>General</c:formatCode>
                <c:ptCount val="9"/>
                <c:pt idx="0">
                  <c:v>210.21825485817195</c:v>
                </c:pt>
                <c:pt idx="1">
                  <c:v>219.46527815658709</c:v>
                </c:pt>
                <c:pt idx="2">
                  <c:v>228.51626962939633</c:v>
                </c:pt>
                <c:pt idx="3">
                  <c:v>237.2047084275527</c:v>
                </c:pt>
                <c:pt idx="4">
                  <c:v>245.30062548486831</c:v>
                </c:pt>
                <c:pt idx="5">
                  <c:v>252.70658579670709</c:v>
                </c:pt>
                <c:pt idx="6">
                  <c:v>259.58775580054368</c:v>
                </c:pt>
                <c:pt idx="7">
                  <c:v>266.16617604991455</c:v>
                </c:pt>
                <c:pt idx="8">
                  <c:v>272.58159769977624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74A-48AF-B3CB-4112901C19E1}"/>
            </c:ext>
          </c:extLst>
        </c:ser>
        <c:ser>
          <c:idx val="3"/>
          <c:order val="3"/>
          <c:tx>
            <c:v>ДИН3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Part1!$A$102:$A$110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Part1!$G$102:$G$110</c:f>
              <c:numCache>
                <c:formatCode>General</c:formatCode>
                <c:ptCount val="9"/>
                <c:pt idx="0">
                  <c:v>207.34772383130573</c:v>
                </c:pt>
                <c:pt idx="1">
                  <c:v>217.1114923575156</c:v>
                </c:pt>
                <c:pt idx="2">
                  <c:v>226.60668074131138</c:v>
                </c:pt>
                <c:pt idx="3">
                  <c:v>235.60514136832623</c:v>
                </c:pt>
                <c:pt idx="4">
                  <c:v>243.79179721289529</c:v>
                </c:pt>
                <c:pt idx="5">
                  <c:v>251.03315409701756</c:v>
                </c:pt>
                <c:pt idx="6">
                  <c:v>257.55550397691934</c:v>
                </c:pt>
                <c:pt idx="7">
                  <c:v>263.66306114691855</c:v>
                </c:pt>
                <c:pt idx="8">
                  <c:v>269.54729648162817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74A-48AF-B3CB-4112901C19E1}"/>
            </c:ext>
          </c:extLst>
        </c:ser>
        <c:ser>
          <c:idx val="4"/>
          <c:order val="4"/>
          <c:tx>
            <c:v>ДИВ1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Part1!$A$102:$A$110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Part1!$D$102:$D$110</c:f>
              <c:numCache>
                <c:formatCode>General</c:formatCode>
                <c:ptCount val="9"/>
                <c:pt idx="0">
                  <c:v>224.3766912717403</c:v>
                </c:pt>
                <c:pt idx="1">
                  <c:v>231.07495115973734</c:v>
                </c:pt>
                <c:pt idx="2">
                  <c:v>237.93501222265229</c:v>
                </c:pt>
                <c:pt idx="3">
                  <c:v>245.09431780133485</c:v>
                </c:pt>
                <c:pt idx="4">
                  <c:v>252.74268026420509</c:v>
                </c:pt>
                <c:pt idx="5">
                  <c:v>260.96052072747483</c:v>
                </c:pt>
                <c:pt idx="6">
                  <c:v>269.61151375746607</c:v>
                </c:pt>
                <c:pt idx="7">
                  <c:v>278.51239103878885</c:v>
                </c:pt>
                <c:pt idx="8">
                  <c:v>287.54780445897086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74A-48AF-B3CB-4112901C19E1}"/>
            </c:ext>
          </c:extLst>
        </c:ser>
        <c:ser>
          <c:idx val="5"/>
          <c:order val="5"/>
          <c:tx>
            <c:v>ДИВ2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Part1!$A$102:$A$110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Part1!$F$102:$F$110</c:f>
              <c:numCache>
                <c:formatCode>General</c:formatCode>
                <c:ptCount val="9"/>
                <c:pt idx="0">
                  <c:v>225.7311009836761</c:v>
                </c:pt>
                <c:pt idx="1">
                  <c:v>232.18554370036537</c:v>
                </c:pt>
                <c:pt idx="2">
                  <c:v>238.83601824266054</c:v>
                </c:pt>
                <c:pt idx="3">
                  <c:v>245.84904545960859</c:v>
                </c:pt>
                <c:pt idx="4">
                  <c:v>253.45459441739735</c:v>
                </c:pt>
                <c:pt idx="5">
                  <c:v>261.75010012066292</c:v>
                </c:pt>
                <c:pt idx="6">
                  <c:v>270.57039613193075</c:v>
                </c:pt>
                <c:pt idx="7">
                  <c:v>279.69344189766429</c:v>
                </c:pt>
                <c:pt idx="8">
                  <c:v>288.97948626290702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74A-48AF-B3CB-4112901C19E1}"/>
            </c:ext>
          </c:extLst>
        </c:ser>
        <c:ser>
          <c:idx val="6"/>
          <c:order val="6"/>
          <c:tx>
            <c:v>ДИВ3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Part1!$A$102:$A$110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Part1!$H$102:$H$110</c:f>
              <c:numCache>
                <c:formatCode>General</c:formatCode>
                <c:ptCount val="9"/>
                <c:pt idx="0">
                  <c:v>228.60163201054232</c:v>
                </c:pt>
                <c:pt idx="1">
                  <c:v>234.53932949943686</c:v>
                </c:pt>
                <c:pt idx="2">
                  <c:v>240.7456071307455</c:v>
                </c:pt>
                <c:pt idx="3">
                  <c:v>247.44861251883506</c:v>
                </c:pt>
                <c:pt idx="4">
                  <c:v>254.96342268937036</c:v>
                </c:pt>
                <c:pt idx="5">
                  <c:v>263.42353182035242</c:v>
                </c:pt>
                <c:pt idx="6">
                  <c:v>272.60264795555508</c:v>
                </c:pt>
                <c:pt idx="7">
                  <c:v>282.19655680066029</c:v>
                </c:pt>
                <c:pt idx="8">
                  <c:v>292.01378748105509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74A-48AF-B3CB-4112901C1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52352"/>
        <c:axId val="70752832"/>
      </c:scatterChart>
      <c:valAx>
        <c:axId val="70752352"/>
        <c:scaling>
          <c:orientation val="minMax"/>
          <c:max val="20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752832"/>
        <c:crosses val="autoZero"/>
        <c:crossBetween val="midCat"/>
      </c:valAx>
      <c:valAx>
        <c:axId val="70752832"/>
        <c:scaling>
          <c:orientation val="minMax"/>
          <c:min val="2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075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Part1!$A$54:$A$73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Part1!$K$54:$K$73</c:f>
              <c:numCache>
                <c:formatCode>General</c:formatCode>
                <c:ptCount val="20"/>
                <c:pt idx="0">
                  <c:v>-11.676143936028438</c:v>
                </c:pt>
                <c:pt idx="1">
                  <c:v>-8.3776099511328255</c:v>
                </c:pt>
                <c:pt idx="2">
                  <c:v>-14.228342958685005</c:v>
                </c:pt>
                <c:pt idx="3">
                  <c:v>12.07019102621058</c:v>
                </c:pt>
                <c:pt idx="4">
                  <c:v>-12.079075966237212</c:v>
                </c:pt>
                <c:pt idx="5">
                  <c:v>5.4731230564193538</c:v>
                </c:pt>
                <c:pt idx="6">
                  <c:v>12.323856063971562</c:v>
                </c:pt>
                <c:pt idx="7">
                  <c:v>10.920924033762788</c:v>
                </c:pt>
                <c:pt idx="8">
                  <c:v>3.7716570413149952</c:v>
                </c:pt>
                <c:pt idx="9">
                  <c:v>12.473123056419354</c:v>
                </c:pt>
                <c:pt idx="10">
                  <c:v>3.1745890715237692</c:v>
                </c:pt>
                <c:pt idx="11">
                  <c:v>-0.37760995113282547</c:v>
                </c:pt>
                <c:pt idx="12">
                  <c:v>-5.2283429586850048</c:v>
                </c:pt>
                <c:pt idx="13">
                  <c:v>6.0701910262105798</c:v>
                </c:pt>
                <c:pt idx="14">
                  <c:v>-3.0790759662372125</c:v>
                </c:pt>
                <c:pt idx="15">
                  <c:v>-5.7805419813416279</c:v>
                </c:pt>
                <c:pt idx="16">
                  <c:v>-6.9746779209240231</c:v>
                </c:pt>
                <c:pt idx="17">
                  <c:v>3.1745890715237692</c:v>
                </c:pt>
                <c:pt idx="18">
                  <c:v>2.5322079075976944E-2</c:v>
                </c:pt>
                <c:pt idx="19">
                  <c:v>-1.6761439360284385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B3-412A-A731-C348677DF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3840"/>
        <c:axId val="71144320"/>
      </c:scatterChart>
      <c:valAx>
        <c:axId val="7114384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1144320"/>
        <c:crosses val="autoZero"/>
        <c:crossBetween val="midCat"/>
      </c:valAx>
      <c:valAx>
        <c:axId val="7114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114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Переменная </a:t>
            </a:r>
            <a:r>
              <a:rPr lang="en-US"/>
              <a:t>X 1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Part2!$A$1:$A$20</c:f>
              <c:numCache>
                <c:formatCode>General</c:formatCode>
                <c:ptCount val="20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18</c:v>
                </c:pt>
                <c:pt idx="5">
                  <c:v>15</c:v>
                </c:pt>
                <c:pt idx="6">
                  <c:v>14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18</c:v>
                </c:pt>
                <c:pt idx="15">
                  <c:v>20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14</c:v>
                </c:pt>
              </c:numCache>
            </c:numRef>
          </c:xVal>
          <c:yVal>
            <c:numRef>
              <c:f>Part2!$M$25:$M$44</c:f>
              <c:numCache>
                <c:formatCode>General</c:formatCode>
                <c:ptCount val="20"/>
                <c:pt idx="0">
                  <c:v>-11.676143936028438</c:v>
                </c:pt>
                <c:pt idx="1">
                  <c:v>-8.3776099511328255</c:v>
                </c:pt>
                <c:pt idx="2">
                  <c:v>-14.228342958685005</c:v>
                </c:pt>
                <c:pt idx="3">
                  <c:v>12.07019102621058</c:v>
                </c:pt>
                <c:pt idx="4">
                  <c:v>-12.079075966237212</c:v>
                </c:pt>
                <c:pt idx="5">
                  <c:v>5.4731230564193538</c:v>
                </c:pt>
                <c:pt idx="6">
                  <c:v>12.323856063971562</c:v>
                </c:pt>
                <c:pt idx="7">
                  <c:v>10.920924033762788</c:v>
                </c:pt>
                <c:pt idx="8">
                  <c:v>3.7716570413149952</c:v>
                </c:pt>
                <c:pt idx="9">
                  <c:v>12.473123056419354</c:v>
                </c:pt>
                <c:pt idx="10">
                  <c:v>3.1745890715237692</c:v>
                </c:pt>
                <c:pt idx="11">
                  <c:v>-0.37760995113282547</c:v>
                </c:pt>
                <c:pt idx="12">
                  <c:v>-5.2283429586850048</c:v>
                </c:pt>
                <c:pt idx="13">
                  <c:v>6.0701910262105798</c:v>
                </c:pt>
                <c:pt idx="14">
                  <c:v>-3.0790759662372125</c:v>
                </c:pt>
                <c:pt idx="15">
                  <c:v>-5.7805419813416279</c:v>
                </c:pt>
                <c:pt idx="16">
                  <c:v>-6.9746779209240231</c:v>
                </c:pt>
                <c:pt idx="17">
                  <c:v>3.1745890715237692</c:v>
                </c:pt>
                <c:pt idx="18">
                  <c:v>2.5322079075976944E-2</c:v>
                </c:pt>
                <c:pt idx="19">
                  <c:v>-1.6761439360284385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33-4850-85B3-316E7899C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732720"/>
        <c:axId val="1745730800"/>
      </c:scatterChart>
      <c:valAx>
        <c:axId val="174573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Переменная </a:t>
                </a:r>
                <a:r>
                  <a:rPr lang="en-US"/>
                  <a:t>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5730800"/>
        <c:crosses val="autoZero"/>
        <c:crossBetween val="midCat"/>
      </c:valAx>
      <c:valAx>
        <c:axId val="1745730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57327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Part2!$A$1:$A$20</c:f>
              <c:numCache>
                <c:formatCode>General</c:formatCode>
                <c:ptCount val="20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18</c:v>
                </c:pt>
                <c:pt idx="5">
                  <c:v>15</c:v>
                </c:pt>
                <c:pt idx="6">
                  <c:v>14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18</c:v>
                </c:pt>
                <c:pt idx="15">
                  <c:v>20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14</c:v>
                </c:pt>
              </c:numCache>
            </c:numRef>
          </c:xVal>
          <c:yVal>
            <c:numRef>
              <c:f>Part2!$B$1:$B$20</c:f>
              <c:numCache>
                <c:formatCode>General</c:formatCode>
                <c:ptCount val="20"/>
                <c:pt idx="0">
                  <c:v>222</c:v>
                </c:pt>
                <c:pt idx="1">
                  <c:v>241</c:v>
                </c:pt>
                <c:pt idx="2">
                  <c:v>243</c:v>
                </c:pt>
                <c:pt idx="3">
                  <c:v>285</c:v>
                </c:pt>
                <c:pt idx="4">
                  <c:v>253</c:v>
                </c:pt>
                <c:pt idx="5">
                  <c:v>247</c:v>
                </c:pt>
                <c:pt idx="6">
                  <c:v>246</c:v>
                </c:pt>
                <c:pt idx="7">
                  <c:v>276</c:v>
                </c:pt>
                <c:pt idx="8">
                  <c:v>261</c:v>
                </c:pt>
                <c:pt idx="9">
                  <c:v>254</c:v>
                </c:pt>
                <c:pt idx="10">
                  <c:v>229</c:v>
                </c:pt>
                <c:pt idx="11">
                  <c:v>249</c:v>
                </c:pt>
                <c:pt idx="12">
                  <c:v>252</c:v>
                </c:pt>
                <c:pt idx="13">
                  <c:v>279</c:v>
                </c:pt>
                <c:pt idx="14">
                  <c:v>262</c:v>
                </c:pt>
                <c:pt idx="15">
                  <c:v>275</c:v>
                </c:pt>
                <c:pt idx="16">
                  <c:v>211</c:v>
                </c:pt>
                <c:pt idx="17">
                  <c:v>229</c:v>
                </c:pt>
                <c:pt idx="18">
                  <c:v>218</c:v>
                </c:pt>
                <c:pt idx="19">
                  <c:v>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5F-4139-8108-A424CAB05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733680"/>
        <c:axId val="1745726000"/>
      </c:scatterChart>
      <c:valAx>
        <c:axId val="1745733680"/>
        <c:scaling>
          <c:orientation val="minMax"/>
          <c:max val="21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745726000"/>
        <c:crosses val="autoZero"/>
        <c:crossBetween val="midCat"/>
      </c:valAx>
      <c:valAx>
        <c:axId val="1745726000"/>
        <c:scaling>
          <c:orientation val="minMax"/>
          <c:min val="2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74573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0</xdr:row>
      <xdr:rowOff>175260</xdr:rowOff>
    </xdr:from>
    <xdr:to>
      <xdr:col>11</xdr:col>
      <xdr:colOff>281940</xdr:colOff>
      <xdr:row>15</xdr:row>
      <xdr:rowOff>175260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2257C04-289F-19B6-D76A-C085CBD8D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</xdr:colOff>
      <xdr:row>112</xdr:row>
      <xdr:rowOff>137160</xdr:rowOff>
    </xdr:from>
    <xdr:to>
      <xdr:col>13</xdr:col>
      <xdr:colOff>403860</xdr:colOff>
      <xdr:row>146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DC15C5-D5F7-CE28-3D74-DBE99CA79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149</xdr:row>
      <xdr:rowOff>144780</xdr:rowOff>
    </xdr:from>
    <xdr:to>
      <xdr:col>9</xdr:col>
      <xdr:colOff>198120</xdr:colOff>
      <xdr:row>166</xdr:row>
      <xdr:rowOff>1950720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8FF775F-3270-1FF3-257D-7A938CAB3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41</xdr:row>
      <xdr:rowOff>53340</xdr:rowOff>
    </xdr:from>
    <xdr:to>
      <xdr:col>9</xdr:col>
      <xdr:colOff>434340</xdr:colOff>
      <xdr:row>64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72FFAC7-1DE3-6F0E-95D0-C902E927D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426720</xdr:colOff>
      <xdr:row>22</xdr:row>
      <xdr:rowOff>60960</xdr:rowOff>
    </xdr:from>
    <xdr:to>
      <xdr:col>8</xdr:col>
      <xdr:colOff>121920</xdr:colOff>
      <xdr:row>37</xdr:row>
      <xdr:rowOff>53340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8A721E9-852C-87FD-868C-EB73949B6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B6A5-F5E5-4D9C-8161-8FDAE37DE16A}">
  <dimension ref="A1:O172"/>
  <sheetViews>
    <sheetView topLeftCell="A150" workbookViewId="0">
      <selection activeCell="C178" sqref="C178"/>
    </sheetView>
  </sheetViews>
  <sheetFormatPr defaultRowHeight="14.4" x14ac:dyDescent="0.3"/>
  <cols>
    <col min="1" max="1" width="14" customWidth="1"/>
    <col min="2" max="2" width="12.21875" customWidth="1"/>
    <col min="3" max="3" width="12.109375" customWidth="1"/>
    <col min="4" max="4" width="11.77734375" customWidth="1"/>
    <col min="5" max="5" width="12.44140625" customWidth="1"/>
    <col min="9" max="9" width="15.88671875" customWidth="1"/>
    <col min="13" max="13" width="13.21875" customWidth="1"/>
  </cols>
  <sheetData>
    <row r="1" spans="1:15" s="5" customFormat="1" x14ac:dyDescent="0.3">
      <c r="A1" s="4" t="s">
        <v>0</v>
      </c>
      <c r="B1" s="4" t="s">
        <v>2</v>
      </c>
      <c r="C1" s="4" t="s">
        <v>1</v>
      </c>
    </row>
    <row r="2" spans="1:15" x14ac:dyDescent="0.3">
      <c r="A2">
        <v>1</v>
      </c>
      <c r="B2">
        <v>14</v>
      </c>
      <c r="C2">
        <v>222</v>
      </c>
      <c r="M2" s="1" t="s">
        <v>6</v>
      </c>
    </row>
    <row r="3" spans="1:15" x14ac:dyDescent="0.3">
      <c r="A3">
        <v>2</v>
      </c>
      <c r="B3">
        <v>16</v>
      </c>
      <c r="C3">
        <v>241</v>
      </c>
      <c r="M3" t="s">
        <v>3</v>
      </c>
      <c r="N3">
        <f>N5/N4</f>
        <v>7.5625</v>
      </c>
    </row>
    <row r="4" spans="1:15" x14ac:dyDescent="0.3">
      <c r="A4">
        <v>3</v>
      </c>
      <c r="B4">
        <v>17</v>
      </c>
      <c r="C4">
        <v>243</v>
      </c>
      <c r="M4" t="s">
        <v>4</v>
      </c>
      <c r="N4">
        <f>B17-B20</f>
        <v>8</v>
      </c>
    </row>
    <row r="5" spans="1:15" x14ac:dyDescent="0.3">
      <c r="A5">
        <v>4</v>
      </c>
      <c r="B5">
        <v>19</v>
      </c>
      <c r="C5">
        <v>285</v>
      </c>
      <c r="M5" t="s">
        <v>5</v>
      </c>
      <c r="N5">
        <f>C17-(C20+C18)/2</f>
        <v>60.5</v>
      </c>
    </row>
    <row r="6" spans="1:15" x14ac:dyDescent="0.3">
      <c r="A6">
        <v>5</v>
      </c>
      <c r="B6">
        <v>18</v>
      </c>
      <c r="C6">
        <v>253</v>
      </c>
    </row>
    <row r="7" spans="1:15" x14ac:dyDescent="0.3">
      <c r="A7">
        <v>6</v>
      </c>
      <c r="B7">
        <v>15</v>
      </c>
      <c r="C7">
        <v>247</v>
      </c>
      <c r="M7" t="s">
        <v>7</v>
      </c>
      <c r="N7" t="s">
        <v>8</v>
      </c>
      <c r="O7">
        <f>C2-B2*N3</f>
        <v>116.125</v>
      </c>
    </row>
    <row r="8" spans="1:15" x14ac:dyDescent="0.3">
      <c r="A8">
        <v>7</v>
      </c>
      <c r="B8">
        <v>14</v>
      </c>
      <c r="C8">
        <v>246</v>
      </c>
    </row>
    <row r="9" spans="1:15" x14ac:dyDescent="0.3">
      <c r="A9">
        <v>8</v>
      </c>
      <c r="B9">
        <v>18</v>
      </c>
      <c r="C9">
        <v>276</v>
      </c>
    </row>
    <row r="10" spans="1:15" x14ac:dyDescent="0.3">
      <c r="A10">
        <v>9</v>
      </c>
      <c r="B10">
        <v>17</v>
      </c>
      <c r="C10">
        <v>261</v>
      </c>
    </row>
    <row r="11" spans="1:15" x14ac:dyDescent="0.3">
      <c r="A11">
        <v>10</v>
      </c>
      <c r="B11">
        <v>15</v>
      </c>
      <c r="C11">
        <v>254</v>
      </c>
    </row>
    <row r="12" spans="1:15" x14ac:dyDescent="0.3">
      <c r="A12">
        <v>11</v>
      </c>
      <c r="B12">
        <v>13</v>
      </c>
      <c r="C12">
        <v>229</v>
      </c>
    </row>
    <row r="13" spans="1:15" x14ac:dyDescent="0.3">
      <c r="A13">
        <v>12</v>
      </c>
      <c r="B13">
        <v>16</v>
      </c>
      <c r="C13">
        <v>249</v>
      </c>
    </row>
    <row r="14" spans="1:15" x14ac:dyDescent="0.3">
      <c r="A14">
        <v>13</v>
      </c>
      <c r="B14">
        <v>17</v>
      </c>
      <c r="C14">
        <v>252</v>
      </c>
    </row>
    <row r="15" spans="1:15" x14ac:dyDescent="0.3">
      <c r="A15">
        <v>14</v>
      </c>
      <c r="B15">
        <v>19</v>
      </c>
      <c r="C15">
        <v>279</v>
      </c>
    </row>
    <row r="16" spans="1:15" x14ac:dyDescent="0.3">
      <c r="A16">
        <v>15</v>
      </c>
      <c r="B16">
        <v>18</v>
      </c>
      <c r="C16">
        <v>262</v>
      </c>
    </row>
    <row r="17" spans="1:9" x14ac:dyDescent="0.3">
      <c r="A17">
        <v>16</v>
      </c>
      <c r="B17">
        <v>20</v>
      </c>
      <c r="C17">
        <v>275</v>
      </c>
    </row>
    <row r="18" spans="1:9" x14ac:dyDescent="0.3">
      <c r="A18">
        <v>17</v>
      </c>
      <c r="B18">
        <v>12</v>
      </c>
      <c r="C18">
        <v>211</v>
      </c>
    </row>
    <row r="19" spans="1:9" x14ac:dyDescent="0.3">
      <c r="A19">
        <v>18</v>
      </c>
      <c r="B19">
        <v>13</v>
      </c>
      <c r="C19">
        <v>229</v>
      </c>
    </row>
    <row r="20" spans="1:9" x14ac:dyDescent="0.3">
      <c r="A20">
        <v>19</v>
      </c>
      <c r="B20">
        <v>12</v>
      </c>
      <c r="C20">
        <v>218</v>
      </c>
    </row>
    <row r="21" spans="1:9" x14ac:dyDescent="0.3">
      <c r="A21">
        <v>20</v>
      </c>
      <c r="B21">
        <v>14</v>
      </c>
      <c r="C21">
        <v>232</v>
      </c>
    </row>
    <row r="22" spans="1:9" s="2" customFormat="1" x14ac:dyDescent="0.3"/>
    <row r="23" spans="1:9" x14ac:dyDescent="0.3">
      <c r="A23" s="1" t="s">
        <v>9</v>
      </c>
      <c r="C23" t="s">
        <v>12</v>
      </c>
      <c r="D23" t="s">
        <v>14</v>
      </c>
    </row>
    <row r="24" spans="1:9" s="4" customFormat="1" x14ac:dyDescent="0.3">
      <c r="A24" s="4" t="s">
        <v>0</v>
      </c>
      <c r="B24" s="4" t="s">
        <v>2</v>
      </c>
      <c r="C24" s="4" t="s">
        <v>1</v>
      </c>
      <c r="D24" s="4" t="s">
        <v>10</v>
      </c>
      <c r="E24" s="4" t="s">
        <v>11</v>
      </c>
      <c r="F24" s="4" t="s">
        <v>13</v>
      </c>
      <c r="G24" s="4" t="s">
        <v>15</v>
      </c>
      <c r="H24" s="4" t="s">
        <v>16</v>
      </c>
      <c r="I24" s="4" t="s">
        <v>17</v>
      </c>
    </row>
    <row r="25" spans="1:9" x14ac:dyDescent="0.3">
      <c r="A25">
        <v>1</v>
      </c>
      <c r="B25">
        <v>14</v>
      </c>
      <c r="C25">
        <v>222</v>
      </c>
      <c r="D25">
        <f>B25*B25</f>
        <v>196</v>
      </c>
      <c r="E25">
        <f>B25-B46</f>
        <v>-1.8499999999999996</v>
      </c>
      <c r="F25">
        <f>E25*E25</f>
        <v>3.4224999999999985</v>
      </c>
      <c r="G25">
        <f>C25-C46</f>
        <v>-26.199999999999989</v>
      </c>
      <c r="H25">
        <f>G25*G25</f>
        <v>686.43999999999937</v>
      </c>
      <c r="I25">
        <f>E25*G25</f>
        <v>48.46999999999997</v>
      </c>
    </row>
    <row r="26" spans="1:9" x14ac:dyDescent="0.3">
      <c r="A26">
        <v>2</v>
      </c>
      <c r="B26">
        <v>16</v>
      </c>
      <c r="C26">
        <v>241</v>
      </c>
      <c r="D26">
        <f t="shared" ref="D26:D44" si="0">B26*B26</f>
        <v>256</v>
      </c>
      <c r="E26">
        <f>B26-B46</f>
        <v>0.15000000000000036</v>
      </c>
      <c r="F26">
        <f t="shared" ref="F26:F44" si="1">E26*E26</f>
        <v>2.2500000000000107E-2</v>
      </c>
      <c r="G26">
        <f>C26-C46</f>
        <v>-7.1999999999999886</v>
      </c>
      <c r="H26">
        <f t="shared" ref="H26:H44" si="2">G26*G26</f>
        <v>51.839999999999833</v>
      </c>
      <c r="I26">
        <f t="shared" ref="I26:I44" si="3">E26*G26</f>
        <v>-1.080000000000001</v>
      </c>
    </row>
    <row r="27" spans="1:9" x14ac:dyDescent="0.3">
      <c r="A27">
        <v>3</v>
      </c>
      <c r="B27">
        <v>17</v>
      </c>
      <c r="C27">
        <v>243</v>
      </c>
      <c r="D27">
        <f t="shared" si="0"/>
        <v>289</v>
      </c>
      <c r="E27">
        <f>B27-B46</f>
        <v>1.1500000000000004</v>
      </c>
      <c r="F27">
        <f t="shared" si="1"/>
        <v>1.3225000000000009</v>
      </c>
      <c r="G27">
        <f>C27-C46</f>
        <v>-5.1999999999999886</v>
      </c>
      <c r="H27">
        <f t="shared" si="2"/>
        <v>27.039999999999882</v>
      </c>
      <c r="I27">
        <f t="shared" si="3"/>
        <v>-5.9799999999999889</v>
      </c>
    </row>
    <row r="28" spans="1:9" x14ac:dyDescent="0.3">
      <c r="A28">
        <v>4</v>
      </c>
      <c r="B28">
        <v>19</v>
      </c>
      <c r="C28">
        <v>285</v>
      </c>
      <c r="D28">
        <f t="shared" si="0"/>
        <v>361</v>
      </c>
      <c r="E28">
        <f>B28-B46</f>
        <v>3.1500000000000004</v>
      </c>
      <c r="F28">
        <f t="shared" si="1"/>
        <v>9.922500000000003</v>
      </c>
      <c r="G28">
        <f>C28-C46</f>
        <v>36.800000000000011</v>
      </c>
      <c r="H28">
        <f t="shared" si="2"/>
        <v>1354.2400000000009</v>
      </c>
      <c r="I28">
        <f t="shared" si="3"/>
        <v>115.92000000000004</v>
      </c>
    </row>
    <row r="29" spans="1:9" x14ac:dyDescent="0.3">
      <c r="A29">
        <v>5</v>
      </c>
      <c r="B29">
        <v>18</v>
      </c>
      <c r="C29">
        <v>253</v>
      </c>
      <c r="D29">
        <f t="shared" si="0"/>
        <v>324</v>
      </c>
      <c r="E29">
        <f>B29-B46</f>
        <v>2.1500000000000004</v>
      </c>
      <c r="F29">
        <f t="shared" si="1"/>
        <v>4.6225000000000014</v>
      </c>
      <c r="G29">
        <f>C29-C46</f>
        <v>4.8000000000000114</v>
      </c>
      <c r="H29">
        <f t="shared" si="2"/>
        <v>23.040000000000109</v>
      </c>
      <c r="I29">
        <f t="shared" si="3"/>
        <v>10.320000000000027</v>
      </c>
    </row>
    <row r="30" spans="1:9" x14ac:dyDescent="0.3">
      <c r="A30">
        <v>6</v>
      </c>
      <c r="B30">
        <v>15</v>
      </c>
      <c r="C30">
        <v>247</v>
      </c>
      <c r="D30">
        <f t="shared" si="0"/>
        <v>225</v>
      </c>
      <c r="E30">
        <f>B30-B46</f>
        <v>-0.84999999999999964</v>
      </c>
      <c r="F30">
        <f t="shared" si="1"/>
        <v>0.72249999999999936</v>
      </c>
      <c r="G30">
        <f>C30-C46</f>
        <v>-1.1999999999999886</v>
      </c>
      <c r="H30">
        <f t="shared" si="2"/>
        <v>1.4399999999999726</v>
      </c>
      <c r="I30">
        <f t="shared" si="3"/>
        <v>1.0199999999999898</v>
      </c>
    </row>
    <row r="31" spans="1:9" x14ac:dyDescent="0.3">
      <c r="A31">
        <v>7</v>
      </c>
      <c r="B31">
        <v>14</v>
      </c>
      <c r="C31">
        <v>246</v>
      </c>
      <c r="D31">
        <f t="shared" si="0"/>
        <v>196</v>
      </c>
      <c r="E31">
        <f>B31-B46</f>
        <v>-1.8499999999999996</v>
      </c>
      <c r="F31">
        <f t="shared" si="1"/>
        <v>3.4224999999999985</v>
      </c>
      <c r="G31">
        <f>C31-C46</f>
        <v>-2.1999999999999886</v>
      </c>
      <c r="H31">
        <f t="shared" si="2"/>
        <v>4.8399999999999501</v>
      </c>
      <c r="I31">
        <f t="shared" si="3"/>
        <v>4.0699999999999781</v>
      </c>
    </row>
    <row r="32" spans="1:9" x14ac:dyDescent="0.3">
      <c r="A32">
        <v>8</v>
      </c>
      <c r="B32">
        <v>18</v>
      </c>
      <c r="C32">
        <v>276</v>
      </c>
      <c r="D32">
        <f t="shared" si="0"/>
        <v>324</v>
      </c>
      <c r="E32">
        <f>B32-B46</f>
        <v>2.1500000000000004</v>
      </c>
      <c r="F32">
        <f t="shared" si="1"/>
        <v>4.6225000000000014</v>
      </c>
      <c r="G32">
        <f>C32-C46</f>
        <v>27.800000000000011</v>
      </c>
      <c r="H32">
        <f t="shared" si="2"/>
        <v>772.8400000000006</v>
      </c>
      <c r="I32">
        <f t="shared" si="3"/>
        <v>59.770000000000032</v>
      </c>
    </row>
    <row r="33" spans="1:9" x14ac:dyDescent="0.3">
      <c r="A33">
        <v>9</v>
      </c>
      <c r="B33">
        <v>17</v>
      </c>
      <c r="C33">
        <v>261</v>
      </c>
      <c r="D33">
        <f t="shared" si="0"/>
        <v>289</v>
      </c>
      <c r="E33">
        <f>B33-B46</f>
        <v>1.1500000000000004</v>
      </c>
      <c r="F33">
        <f t="shared" si="1"/>
        <v>1.3225000000000009</v>
      </c>
      <c r="G33">
        <f>C33-C46</f>
        <v>12.800000000000011</v>
      </c>
      <c r="H33">
        <f t="shared" si="2"/>
        <v>163.84000000000029</v>
      </c>
      <c r="I33">
        <f t="shared" si="3"/>
        <v>14.720000000000018</v>
      </c>
    </row>
    <row r="34" spans="1:9" x14ac:dyDescent="0.3">
      <c r="A34">
        <v>10</v>
      </c>
      <c r="B34">
        <v>15</v>
      </c>
      <c r="C34">
        <v>254</v>
      </c>
      <c r="D34">
        <f t="shared" si="0"/>
        <v>225</v>
      </c>
      <c r="E34">
        <f>B34-B46</f>
        <v>-0.84999999999999964</v>
      </c>
      <c r="F34">
        <f t="shared" si="1"/>
        <v>0.72249999999999936</v>
      </c>
      <c r="G34">
        <f>C34-C46</f>
        <v>5.8000000000000114</v>
      </c>
      <c r="H34">
        <f t="shared" si="2"/>
        <v>33.640000000000128</v>
      </c>
      <c r="I34">
        <f t="shared" si="3"/>
        <v>-4.9300000000000077</v>
      </c>
    </row>
    <row r="35" spans="1:9" x14ac:dyDescent="0.3">
      <c r="A35">
        <v>11</v>
      </c>
      <c r="B35">
        <v>13</v>
      </c>
      <c r="C35">
        <v>229</v>
      </c>
      <c r="D35">
        <f t="shared" si="0"/>
        <v>169</v>
      </c>
      <c r="E35">
        <f>B35-B46</f>
        <v>-2.8499999999999996</v>
      </c>
      <c r="F35">
        <f t="shared" si="1"/>
        <v>8.1224999999999987</v>
      </c>
      <c r="G35">
        <f>C35-C46</f>
        <v>-19.199999999999989</v>
      </c>
      <c r="H35">
        <f t="shared" si="2"/>
        <v>368.63999999999959</v>
      </c>
      <c r="I35">
        <f t="shared" si="3"/>
        <v>54.719999999999963</v>
      </c>
    </row>
    <row r="36" spans="1:9" x14ac:dyDescent="0.3">
      <c r="A36">
        <v>12</v>
      </c>
      <c r="B36">
        <v>16</v>
      </c>
      <c r="C36">
        <v>249</v>
      </c>
      <c r="D36">
        <f t="shared" si="0"/>
        <v>256</v>
      </c>
      <c r="E36">
        <f>B36-B46</f>
        <v>0.15000000000000036</v>
      </c>
      <c r="F36">
        <f t="shared" si="1"/>
        <v>2.2500000000000107E-2</v>
      </c>
      <c r="G36">
        <f>C36-C46</f>
        <v>0.80000000000001137</v>
      </c>
      <c r="H36">
        <f t="shared" si="2"/>
        <v>0.64000000000001822</v>
      </c>
      <c r="I36">
        <f t="shared" si="3"/>
        <v>0.12000000000000199</v>
      </c>
    </row>
    <row r="37" spans="1:9" x14ac:dyDescent="0.3">
      <c r="A37">
        <v>13</v>
      </c>
      <c r="B37">
        <v>17</v>
      </c>
      <c r="C37">
        <v>252</v>
      </c>
      <c r="D37">
        <f t="shared" si="0"/>
        <v>289</v>
      </c>
      <c r="E37">
        <f>B37-B46</f>
        <v>1.1500000000000004</v>
      </c>
      <c r="F37">
        <f t="shared" si="1"/>
        <v>1.3225000000000009</v>
      </c>
      <c r="G37">
        <f>C37-C46</f>
        <v>3.8000000000000114</v>
      </c>
      <c r="H37">
        <f t="shared" si="2"/>
        <v>14.440000000000087</v>
      </c>
      <c r="I37">
        <f t="shared" si="3"/>
        <v>4.3700000000000143</v>
      </c>
    </row>
    <row r="38" spans="1:9" x14ac:dyDescent="0.3">
      <c r="A38">
        <v>14</v>
      </c>
      <c r="B38">
        <v>19</v>
      </c>
      <c r="C38">
        <v>279</v>
      </c>
      <c r="D38">
        <f t="shared" si="0"/>
        <v>361</v>
      </c>
      <c r="E38">
        <f>B38-B46</f>
        <v>3.1500000000000004</v>
      </c>
      <c r="F38">
        <f t="shared" si="1"/>
        <v>9.922500000000003</v>
      </c>
      <c r="G38">
        <f>C38-C46</f>
        <v>30.800000000000011</v>
      </c>
      <c r="H38">
        <f t="shared" si="2"/>
        <v>948.64000000000067</v>
      </c>
      <c r="I38">
        <f t="shared" si="3"/>
        <v>97.020000000000053</v>
      </c>
    </row>
    <row r="39" spans="1:9" x14ac:dyDescent="0.3">
      <c r="A39">
        <v>15</v>
      </c>
      <c r="B39">
        <v>18</v>
      </c>
      <c r="C39">
        <v>262</v>
      </c>
      <c r="D39">
        <f t="shared" si="0"/>
        <v>324</v>
      </c>
      <c r="E39">
        <f>B39-B46</f>
        <v>2.1500000000000004</v>
      </c>
      <c r="F39">
        <f t="shared" si="1"/>
        <v>4.6225000000000014</v>
      </c>
      <c r="G39">
        <f>C39-C46</f>
        <v>13.800000000000011</v>
      </c>
      <c r="H39">
        <f t="shared" si="2"/>
        <v>190.44000000000031</v>
      </c>
      <c r="I39">
        <f t="shared" si="3"/>
        <v>29.67000000000003</v>
      </c>
    </row>
    <row r="40" spans="1:9" x14ac:dyDescent="0.3">
      <c r="A40">
        <v>16</v>
      </c>
      <c r="B40">
        <v>20</v>
      </c>
      <c r="C40">
        <v>275</v>
      </c>
      <c r="D40">
        <f t="shared" si="0"/>
        <v>400</v>
      </c>
      <c r="E40">
        <f>B40-B46</f>
        <v>4.1500000000000004</v>
      </c>
      <c r="F40">
        <f t="shared" si="1"/>
        <v>17.222500000000004</v>
      </c>
      <c r="G40">
        <f>C40-C46</f>
        <v>26.800000000000011</v>
      </c>
      <c r="H40">
        <f t="shared" si="2"/>
        <v>718.24000000000058</v>
      </c>
      <c r="I40">
        <f t="shared" si="3"/>
        <v>111.22000000000006</v>
      </c>
    </row>
    <row r="41" spans="1:9" x14ac:dyDescent="0.3">
      <c r="A41">
        <v>17</v>
      </c>
      <c r="B41">
        <v>12</v>
      </c>
      <c r="C41">
        <v>211</v>
      </c>
      <c r="D41">
        <f t="shared" si="0"/>
        <v>144</v>
      </c>
      <c r="E41">
        <f>B41-B46</f>
        <v>-3.8499999999999996</v>
      </c>
      <c r="F41">
        <f t="shared" si="1"/>
        <v>14.822499999999998</v>
      </c>
      <c r="G41">
        <f>C41-C46</f>
        <v>-37.199999999999989</v>
      </c>
      <c r="H41">
        <f t="shared" si="2"/>
        <v>1383.8399999999992</v>
      </c>
      <c r="I41">
        <f t="shared" si="3"/>
        <v>143.21999999999994</v>
      </c>
    </row>
    <row r="42" spans="1:9" x14ac:dyDescent="0.3">
      <c r="A42">
        <v>18</v>
      </c>
      <c r="B42">
        <v>13</v>
      </c>
      <c r="C42">
        <v>229</v>
      </c>
      <c r="D42">
        <f t="shared" si="0"/>
        <v>169</v>
      </c>
      <c r="E42">
        <f>B42-B46</f>
        <v>-2.8499999999999996</v>
      </c>
      <c r="F42">
        <f t="shared" si="1"/>
        <v>8.1224999999999987</v>
      </c>
      <c r="G42">
        <f>C42-C46</f>
        <v>-19.199999999999989</v>
      </c>
      <c r="H42">
        <f t="shared" si="2"/>
        <v>368.63999999999959</v>
      </c>
      <c r="I42">
        <f t="shared" si="3"/>
        <v>54.719999999999963</v>
      </c>
    </row>
    <row r="43" spans="1:9" x14ac:dyDescent="0.3">
      <c r="A43">
        <v>19</v>
      </c>
      <c r="B43">
        <v>12</v>
      </c>
      <c r="C43">
        <v>218</v>
      </c>
      <c r="D43">
        <f t="shared" si="0"/>
        <v>144</v>
      </c>
      <c r="E43">
        <f>B43-B46</f>
        <v>-3.8499999999999996</v>
      </c>
      <c r="F43">
        <f t="shared" si="1"/>
        <v>14.822499999999998</v>
      </c>
      <c r="G43">
        <f>C43-C46</f>
        <v>-30.199999999999989</v>
      </c>
      <c r="H43">
        <f t="shared" si="2"/>
        <v>912.03999999999928</v>
      </c>
      <c r="I43">
        <f t="shared" si="3"/>
        <v>116.26999999999994</v>
      </c>
    </row>
    <row r="44" spans="1:9" x14ac:dyDescent="0.3">
      <c r="A44">
        <v>20</v>
      </c>
      <c r="B44">
        <v>14</v>
      </c>
      <c r="C44">
        <v>232</v>
      </c>
      <c r="D44">
        <f t="shared" si="0"/>
        <v>196</v>
      </c>
      <c r="E44">
        <f>B44-B46</f>
        <v>-1.8499999999999996</v>
      </c>
      <c r="F44">
        <f t="shared" si="1"/>
        <v>3.4224999999999985</v>
      </c>
      <c r="G44">
        <f>C44-C46</f>
        <v>-16.199999999999989</v>
      </c>
      <c r="H44">
        <f t="shared" si="2"/>
        <v>262.43999999999966</v>
      </c>
      <c r="I44">
        <f t="shared" si="3"/>
        <v>29.969999999999974</v>
      </c>
    </row>
    <row r="45" spans="1:9" s="3" customFormat="1" x14ac:dyDescent="0.3">
      <c r="A45" s="3" t="s">
        <v>19</v>
      </c>
      <c r="B45" s="3">
        <f>SUM(B25:B44)</f>
        <v>317</v>
      </c>
      <c r="C45" s="3">
        <f>SUM(C25:C44)</f>
        <v>4964</v>
      </c>
      <c r="D45" s="3">
        <f>SUM(D25:D44)</f>
        <v>5137</v>
      </c>
      <c r="E45" s="3">
        <f>SUM(E25:E44)</f>
        <v>7.1054273576010019E-15</v>
      </c>
      <c r="F45" s="3">
        <f t="shared" ref="F45:I45" si="4">SUM(F25:F44)</f>
        <v>112.55</v>
      </c>
      <c r="G45" s="3">
        <f t="shared" si="4"/>
        <v>2.2737367544323206E-13</v>
      </c>
      <c r="H45" s="3">
        <f t="shared" si="4"/>
        <v>8287.2000000000007</v>
      </c>
      <c r="I45" s="3">
        <f t="shared" si="4"/>
        <v>883.6</v>
      </c>
    </row>
    <row r="46" spans="1:9" s="3" customFormat="1" x14ac:dyDescent="0.3">
      <c r="A46" s="3" t="s">
        <v>18</v>
      </c>
      <c r="B46" s="3">
        <f>AVERAGE(B25:B44)</f>
        <v>15.85</v>
      </c>
      <c r="C46" s="3">
        <f>AVERAGE(C25:C44)</f>
        <v>248.2</v>
      </c>
      <c r="D46" s="3">
        <f>AVERAGE(D25:D44)</f>
        <v>256.85000000000002</v>
      </c>
      <c r="E46" s="3">
        <f>AVERAGE(E25:E44)</f>
        <v>3.5527136788005011E-16</v>
      </c>
      <c r="F46" s="3">
        <f t="shared" ref="F46:I46" si="5">AVERAGE(F25:F44)</f>
        <v>5.6274999999999995</v>
      </c>
      <c r="G46" s="3">
        <f t="shared" si="5"/>
        <v>1.1368683772161604E-14</v>
      </c>
      <c r="H46" s="3">
        <f t="shared" si="5"/>
        <v>414.36</v>
      </c>
      <c r="I46" s="3">
        <f t="shared" si="5"/>
        <v>44.18</v>
      </c>
    </row>
    <row r="47" spans="1:9" s="2" customFormat="1" x14ac:dyDescent="0.3"/>
    <row r="48" spans="1:9" x14ac:dyDescent="0.3">
      <c r="A48" s="1" t="s">
        <v>20</v>
      </c>
    </row>
    <row r="49" spans="1:13" x14ac:dyDescent="0.3">
      <c r="A49" t="s">
        <v>21</v>
      </c>
      <c r="B49" s="6" t="s">
        <v>22</v>
      </c>
      <c r="C49" s="7" t="s">
        <v>25</v>
      </c>
      <c r="D49" s="8">
        <f>I45/F45</f>
        <v>7.8507330075521997</v>
      </c>
    </row>
    <row r="50" spans="1:13" x14ac:dyDescent="0.3">
      <c r="A50" t="s">
        <v>23</v>
      </c>
      <c r="B50" s="6" t="s">
        <v>22</v>
      </c>
      <c r="C50" s="7" t="s">
        <v>24</v>
      </c>
      <c r="D50">
        <f>C46-B46*D49</f>
        <v>123.76588183029763</v>
      </c>
    </row>
    <row r="51" spans="1:13" s="2" customFormat="1" x14ac:dyDescent="0.3"/>
    <row r="52" spans="1:13" x14ac:dyDescent="0.3">
      <c r="A52" s="1" t="s">
        <v>31</v>
      </c>
      <c r="C52" t="s">
        <v>12</v>
      </c>
      <c r="D52" t="s">
        <v>14</v>
      </c>
      <c r="E52" t="s">
        <v>26</v>
      </c>
    </row>
    <row r="53" spans="1:13" x14ac:dyDescent="0.3">
      <c r="A53" s="4" t="s">
        <v>0</v>
      </c>
      <c r="B53" s="4" t="s">
        <v>2</v>
      </c>
      <c r="C53" s="4" t="s">
        <v>1</v>
      </c>
      <c r="D53" s="4" t="s">
        <v>10</v>
      </c>
      <c r="E53" s="4" t="s">
        <v>11</v>
      </c>
      <c r="F53" s="4" t="s">
        <v>13</v>
      </c>
      <c r="G53" s="4" t="s">
        <v>15</v>
      </c>
      <c r="H53" s="4" t="s">
        <v>16</v>
      </c>
      <c r="I53" s="4" t="s">
        <v>17</v>
      </c>
      <c r="J53" s="4" t="s">
        <v>27</v>
      </c>
      <c r="K53" s="4" t="s">
        <v>28</v>
      </c>
      <c r="L53" s="4" t="s">
        <v>29</v>
      </c>
      <c r="M53" s="4" t="s">
        <v>30</v>
      </c>
    </row>
    <row r="54" spans="1:13" x14ac:dyDescent="0.3">
      <c r="A54">
        <v>1</v>
      </c>
      <c r="B54">
        <v>14</v>
      </c>
      <c r="C54">
        <v>222</v>
      </c>
      <c r="D54">
        <f>B54*B54</f>
        <v>196</v>
      </c>
      <c r="E54">
        <f>B54-B75</f>
        <v>-1.8499999999999996</v>
      </c>
      <c r="F54">
        <f>E54*E54</f>
        <v>3.4224999999999985</v>
      </c>
      <c r="G54">
        <f>C54-C75</f>
        <v>-26.199999999999989</v>
      </c>
      <c r="H54">
        <f>G54*G54</f>
        <v>686.43999999999937</v>
      </c>
      <c r="I54">
        <f>E54*G54</f>
        <v>48.46999999999997</v>
      </c>
      <c r="J54">
        <f>$D$50+$D$49*B54</f>
        <v>233.67614393602844</v>
      </c>
      <c r="K54">
        <f>C54-J54</f>
        <v>-11.676143936028438</v>
      </c>
      <c r="L54">
        <f>K54^2</f>
        <v>136.33233721485368</v>
      </c>
      <c r="M54">
        <f>L54/18</f>
        <v>7.5740187341585381</v>
      </c>
    </row>
    <row r="55" spans="1:13" x14ac:dyDescent="0.3">
      <c r="A55">
        <v>2</v>
      </c>
      <c r="B55">
        <v>16</v>
      </c>
      <c r="C55">
        <v>241</v>
      </c>
      <c r="D55">
        <f t="shared" ref="D55:D73" si="6">B55*B55</f>
        <v>256</v>
      </c>
      <c r="E55">
        <f>B55-B75</f>
        <v>0.15000000000000036</v>
      </c>
      <c r="F55">
        <f t="shared" ref="F55:F73" si="7">E55*E55</f>
        <v>2.2500000000000107E-2</v>
      </c>
      <c r="G55">
        <f>C55-C75</f>
        <v>-7.1999999999999886</v>
      </c>
      <c r="H55">
        <f t="shared" ref="H55:H73" si="8">G55*G55</f>
        <v>51.839999999999833</v>
      </c>
      <c r="I55">
        <f t="shared" ref="I55:I73" si="9">E55*G55</f>
        <v>-1.080000000000001</v>
      </c>
      <c r="J55">
        <f t="shared" ref="J55:J73" si="10">$D$50+$D$49*B55</f>
        <v>249.37760995113283</v>
      </c>
      <c r="K55">
        <f t="shared" ref="K55:K73" si="11">C55-J55</f>
        <v>-8.3776099511328255</v>
      </c>
      <c r="L55">
        <f t="shared" ref="L55:L73" si="12">K55^2</f>
        <v>70.184348493319746</v>
      </c>
      <c r="M55">
        <f t="shared" ref="M55:M73" si="13">L55/18</f>
        <v>3.8991304718510968</v>
      </c>
    </row>
    <row r="56" spans="1:13" x14ac:dyDescent="0.3">
      <c r="A56">
        <v>3</v>
      </c>
      <c r="B56">
        <v>17</v>
      </c>
      <c r="C56">
        <v>243</v>
      </c>
      <c r="D56">
        <f t="shared" si="6"/>
        <v>289</v>
      </c>
      <c r="E56">
        <f>B56-B75</f>
        <v>1.1500000000000004</v>
      </c>
      <c r="F56">
        <f t="shared" si="7"/>
        <v>1.3225000000000009</v>
      </c>
      <c r="G56">
        <f>C56-C75</f>
        <v>-5.1999999999999886</v>
      </c>
      <c r="H56">
        <f t="shared" si="8"/>
        <v>27.039999999999882</v>
      </c>
      <c r="I56">
        <f t="shared" si="9"/>
        <v>-5.9799999999999889</v>
      </c>
      <c r="J56">
        <f t="shared" si="10"/>
        <v>257.228342958685</v>
      </c>
      <c r="K56">
        <f t="shared" si="11"/>
        <v>-14.228342958685005</v>
      </c>
      <c r="L56">
        <f t="shared" si="12"/>
        <v>202.44574334996116</v>
      </c>
      <c r="M56">
        <f t="shared" si="13"/>
        <v>11.24698574166451</v>
      </c>
    </row>
    <row r="57" spans="1:13" x14ac:dyDescent="0.3">
      <c r="A57">
        <v>4</v>
      </c>
      <c r="B57">
        <v>19</v>
      </c>
      <c r="C57">
        <v>285</v>
      </c>
      <c r="D57">
        <f t="shared" si="6"/>
        <v>361</v>
      </c>
      <c r="E57">
        <f>B57-B75</f>
        <v>3.1500000000000004</v>
      </c>
      <c r="F57">
        <f t="shared" si="7"/>
        <v>9.922500000000003</v>
      </c>
      <c r="G57">
        <f>C57-C75</f>
        <v>36.800000000000011</v>
      </c>
      <c r="H57">
        <f t="shared" si="8"/>
        <v>1354.2400000000009</v>
      </c>
      <c r="I57">
        <f t="shared" si="9"/>
        <v>115.92000000000004</v>
      </c>
      <c r="J57">
        <f t="shared" si="10"/>
        <v>272.92980897378942</v>
      </c>
      <c r="K57">
        <f t="shared" si="11"/>
        <v>12.07019102621058</v>
      </c>
      <c r="L57">
        <f t="shared" si="12"/>
        <v>145.68951140921442</v>
      </c>
      <c r="M57">
        <f t="shared" si="13"/>
        <v>8.0938617449563566</v>
      </c>
    </row>
    <row r="58" spans="1:13" x14ac:dyDescent="0.3">
      <c r="A58">
        <v>5</v>
      </c>
      <c r="B58">
        <v>18</v>
      </c>
      <c r="C58">
        <v>253</v>
      </c>
      <c r="D58">
        <f t="shared" si="6"/>
        <v>324</v>
      </c>
      <c r="E58">
        <f>B58-B75</f>
        <v>2.1500000000000004</v>
      </c>
      <c r="F58">
        <f t="shared" si="7"/>
        <v>4.6225000000000014</v>
      </c>
      <c r="G58">
        <f>C58-C75</f>
        <v>4.8000000000000114</v>
      </c>
      <c r="H58">
        <f t="shared" si="8"/>
        <v>23.040000000000109</v>
      </c>
      <c r="I58">
        <f t="shared" si="9"/>
        <v>10.320000000000027</v>
      </c>
      <c r="J58">
        <f t="shared" si="10"/>
        <v>265.07907596623721</v>
      </c>
      <c r="K58">
        <f t="shared" si="11"/>
        <v>-12.079075966237212</v>
      </c>
      <c r="L58">
        <f t="shared" si="12"/>
        <v>145.90407619812945</v>
      </c>
      <c r="M58">
        <f t="shared" si="13"/>
        <v>8.1057820110071912</v>
      </c>
    </row>
    <row r="59" spans="1:13" x14ac:dyDescent="0.3">
      <c r="A59">
        <v>6</v>
      </c>
      <c r="B59">
        <v>15</v>
      </c>
      <c r="C59">
        <v>247</v>
      </c>
      <c r="D59">
        <f t="shared" si="6"/>
        <v>225</v>
      </c>
      <c r="E59">
        <f>B59-B75</f>
        <v>-0.84999999999999964</v>
      </c>
      <c r="F59">
        <f t="shared" si="7"/>
        <v>0.72249999999999936</v>
      </c>
      <c r="G59">
        <f>C59-C75</f>
        <v>-1.1999999999999886</v>
      </c>
      <c r="H59">
        <f t="shared" si="8"/>
        <v>1.4399999999999726</v>
      </c>
      <c r="I59">
        <f t="shared" si="9"/>
        <v>1.0199999999999898</v>
      </c>
      <c r="J59">
        <f t="shared" si="10"/>
        <v>241.52687694358065</v>
      </c>
      <c r="K59">
        <f t="shared" si="11"/>
        <v>5.4731230564193538</v>
      </c>
      <c r="L59">
        <f t="shared" si="12"/>
        <v>29.95507599070913</v>
      </c>
      <c r="M59">
        <f t="shared" si="13"/>
        <v>1.6641708883727295</v>
      </c>
    </row>
    <row r="60" spans="1:13" x14ac:dyDescent="0.3">
      <c r="A60">
        <v>7</v>
      </c>
      <c r="B60">
        <v>14</v>
      </c>
      <c r="C60">
        <v>246</v>
      </c>
      <c r="D60">
        <f t="shared" si="6"/>
        <v>196</v>
      </c>
      <c r="E60">
        <f>B60-B75</f>
        <v>-1.8499999999999996</v>
      </c>
      <c r="F60">
        <f t="shared" si="7"/>
        <v>3.4224999999999985</v>
      </c>
      <c r="G60">
        <f>C60-C75</f>
        <v>-2.1999999999999886</v>
      </c>
      <c r="H60">
        <f t="shared" si="8"/>
        <v>4.8399999999999501</v>
      </c>
      <c r="I60">
        <f t="shared" si="9"/>
        <v>4.0699999999999781</v>
      </c>
      <c r="J60">
        <f t="shared" si="10"/>
        <v>233.67614393602844</v>
      </c>
      <c r="K60">
        <f t="shared" si="11"/>
        <v>12.323856063971562</v>
      </c>
      <c r="L60">
        <f t="shared" si="12"/>
        <v>151.87742828548863</v>
      </c>
      <c r="M60">
        <f t="shared" si="13"/>
        <v>8.4376349047493679</v>
      </c>
    </row>
    <row r="61" spans="1:13" x14ac:dyDescent="0.3">
      <c r="A61">
        <v>8</v>
      </c>
      <c r="B61">
        <v>18</v>
      </c>
      <c r="C61">
        <v>276</v>
      </c>
      <c r="D61">
        <f t="shared" si="6"/>
        <v>324</v>
      </c>
      <c r="E61">
        <f>B61-B75</f>
        <v>2.1500000000000004</v>
      </c>
      <c r="F61">
        <f t="shared" si="7"/>
        <v>4.6225000000000014</v>
      </c>
      <c r="G61">
        <f>C61-C75</f>
        <v>27.800000000000011</v>
      </c>
      <c r="H61">
        <f t="shared" si="8"/>
        <v>772.8400000000006</v>
      </c>
      <c r="I61">
        <f t="shared" si="9"/>
        <v>59.770000000000032</v>
      </c>
      <c r="J61">
        <f t="shared" si="10"/>
        <v>265.07907596623721</v>
      </c>
      <c r="K61">
        <f t="shared" si="11"/>
        <v>10.920924033762788</v>
      </c>
      <c r="L61">
        <f t="shared" si="12"/>
        <v>119.26658175121767</v>
      </c>
      <c r="M61">
        <f t="shared" si="13"/>
        <v>6.6259212084009818</v>
      </c>
    </row>
    <row r="62" spans="1:13" x14ac:dyDescent="0.3">
      <c r="A62">
        <v>9</v>
      </c>
      <c r="B62">
        <v>17</v>
      </c>
      <c r="C62">
        <v>261</v>
      </c>
      <c r="D62">
        <f t="shared" si="6"/>
        <v>289</v>
      </c>
      <c r="E62">
        <f>B62-B75</f>
        <v>1.1500000000000004</v>
      </c>
      <c r="F62">
        <f t="shared" si="7"/>
        <v>1.3225000000000009</v>
      </c>
      <c r="G62">
        <f>C62-C75</f>
        <v>12.800000000000011</v>
      </c>
      <c r="H62">
        <f t="shared" si="8"/>
        <v>163.84000000000029</v>
      </c>
      <c r="I62">
        <f t="shared" si="9"/>
        <v>14.720000000000018</v>
      </c>
      <c r="J62">
        <f t="shared" si="10"/>
        <v>257.228342958685</v>
      </c>
      <c r="K62">
        <f t="shared" si="11"/>
        <v>3.7716570413149952</v>
      </c>
      <c r="L62">
        <f t="shared" si="12"/>
        <v>14.225396837300984</v>
      </c>
      <c r="M62">
        <f t="shared" si="13"/>
        <v>0.79029982429449908</v>
      </c>
    </row>
    <row r="63" spans="1:13" x14ac:dyDescent="0.3">
      <c r="A63">
        <v>10</v>
      </c>
      <c r="B63">
        <v>15</v>
      </c>
      <c r="C63">
        <v>254</v>
      </c>
      <c r="D63">
        <f t="shared" si="6"/>
        <v>225</v>
      </c>
      <c r="E63">
        <f>B63-B75</f>
        <v>-0.84999999999999964</v>
      </c>
      <c r="F63">
        <f t="shared" si="7"/>
        <v>0.72249999999999936</v>
      </c>
      <c r="G63">
        <f>C63-C75</f>
        <v>5.8000000000000114</v>
      </c>
      <c r="H63">
        <f t="shared" si="8"/>
        <v>33.640000000000128</v>
      </c>
      <c r="I63">
        <f t="shared" si="9"/>
        <v>-4.9300000000000077</v>
      </c>
      <c r="J63">
        <f t="shared" si="10"/>
        <v>241.52687694358065</v>
      </c>
      <c r="K63">
        <f t="shared" si="11"/>
        <v>12.473123056419354</v>
      </c>
      <c r="L63">
        <f t="shared" si="12"/>
        <v>155.57879878058009</v>
      </c>
      <c r="M63">
        <f t="shared" si="13"/>
        <v>8.6432665989211159</v>
      </c>
    </row>
    <row r="64" spans="1:13" x14ac:dyDescent="0.3">
      <c r="A64">
        <v>11</v>
      </c>
      <c r="B64">
        <v>13</v>
      </c>
      <c r="C64">
        <v>229</v>
      </c>
      <c r="D64">
        <f t="shared" si="6"/>
        <v>169</v>
      </c>
      <c r="E64">
        <f>B64-B75</f>
        <v>-2.8499999999999996</v>
      </c>
      <c r="F64">
        <f t="shared" si="7"/>
        <v>8.1224999999999987</v>
      </c>
      <c r="G64">
        <f>C64-C75</f>
        <v>-19.199999999999989</v>
      </c>
      <c r="H64">
        <f t="shared" si="8"/>
        <v>368.63999999999959</v>
      </c>
      <c r="I64">
        <f t="shared" si="9"/>
        <v>54.719999999999963</v>
      </c>
      <c r="J64">
        <f t="shared" si="10"/>
        <v>225.82541092847623</v>
      </c>
      <c r="K64">
        <f t="shared" si="11"/>
        <v>3.1745890715237692</v>
      </c>
      <c r="L64">
        <f t="shared" si="12"/>
        <v>10.078015773038148</v>
      </c>
      <c r="M64">
        <f t="shared" si="13"/>
        <v>0.55988976516878597</v>
      </c>
    </row>
    <row r="65" spans="1:13" x14ac:dyDescent="0.3">
      <c r="A65">
        <v>12</v>
      </c>
      <c r="B65">
        <v>16</v>
      </c>
      <c r="C65">
        <v>249</v>
      </c>
      <c r="D65">
        <f t="shared" si="6"/>
        <v>256</v>
      </c>
      <c r="E65">
        <f>B65-B75</f>
        <v>0.15000000000000036</v>
      </c>
      <c r="F65">
        <f t="shared" si="7"/>
        <v>2.2500000000000107E-2</v>
      </c>
      <c r="G65">
        <f>C65-C75</f>
        <v>0.80000000000001137</v>
      </c>
      <c r="H65">
        <f t="shared" si="8"/>
        <v>0.64000000000001822</v>
      </c>
      <c r="I65">
        <f t="shared" si="9"/>
        <v>0.12000000000000199</v>
      </c>
      <c r="J65">
        <f t="shared" si="10"/>
        <v>249.37760995113283</v>
      </c>
      <c r="K65">
        <f t="shared" si="11"/>
        <v>-0.37760995113282547</v>
      </c>
      <c r="L65">
        <f t="shared" si="12"/>
        <v>0.14258927519453485</v>
      </c>
      <c r="M65">
        <f t="shared" si="13"/>
        <v>7.9216263996963812E-3</v>
      </c>
    </row>
    <row r="66" spans="1:13" x14ac:dyDescent="0.3">
      <c r="A66">
        <v>13</v>
      </c>
      <c r="B66">
        <v>17</v>
      </c>
      <c r="C66">
        <v>252</v>
      </c>
      <c r="D66">
        <f t="shared" si="6"/>
        <v>289</v>
      </c>
      <c r="E66">
        <f>B66-B75</f>
        <v>1.1500000000000004</v>
      </c>
      <c r="F66">
        <f t="shared" si="7"/>
        <v>1.3225000000000009</v>
      </c>
      <c r="G66">
        <f>C66-C75</f>
        <v>3.8000000000000114</v>
      </c>
      <c r="H66">
        <f t="shared" si="8"/>
        <v>14.440000000000087</v>
      </c>
      <c r="I66">
        <f t="shared" si="9"/>
        <v>4.3700000000000143</v>
      </c>
      <c r="J66">
        <f t="shared" si="10"/>
        <v>257.228342958685</v>
      </c>
      <c r="K66">
        <f t="shared" si="11"/>
        <v>-5.2283429586850048</v>
      </c>
      <c r="L66">
        <f t="shared" si="12"/>
        <v>27.33557009363107</v>
      </c>
      <c r="M66">
        <f t="shared" si="13"/>
        <v>1.5186427829795039</v>
      </c>
    </row>
    <row r="67" spans="1:13" x14ac:dyDescent="0.3">
      <c r="A67">
        <v>14</v>
      </c>
      <c r="B67">
        <v>19</v>
      </c>
      <c r="C67">
        <v>279</v>
      </c>
      <c r="D67">
        <f t="shared" si="6"/>
        <v>361</v>
      </c>
      <c r="E67">
        <f>B67-B75</f>
        <v>3.1500000000000004</v>
      </c>
      <c r="F67">
        <f t="shared" si="7"/>
        <v>9.922500000000003</v>
      </c>
      <c r="G67">
        <f>C67-C75</f>
        <v>30.800000000000011</v>
      </c>
      <c r="H67">
        <f t="shared" si="8"/>
        <v>948.64000000000067</v>
      </c>
      <c r="I67">
        <f t="shared" si="9"/>
        <v>97.020000000000053</v>
      </c>
      <c r="J67">
        <f t="shared" si="10"/>
        <v>272.92980897378942</v>
      </c>
      <c r="K67">
        <f t="shared" si="11"/>
        <v>6.0701910262105798</v>
      </c>
      <c r="L67">
        <f t="shared" si="12"/>
        <v>36.847219094687453</v>
      </c>
      <c r="M67">
        <f t="shared" si="13"/>
        <v>2.0470677274826361</v>
      </c>
    </row>
    <row r="68" spans="1:13" x14ac:dyDescent="0.3">
      <c r="A68">
        <v>15</v>
      </c>
      <c r="B68">
        <v>18</v>
      </c>
      <c r="C68">
        <v>262</v>
      </c>
      <c r="D68">
        <f t="shared" si="6"/>
        <v>324</v>
      </c>
      <c r="E68">
        <f>B68-B75</f>
        <v>2.1500000000000004</v>
      </c>
      <c r="F68">
        <f t="shared" si="7"/>
        <v>4.6225000000000014</v>
      </c>
      <c r="G68">
        <f>C68-C75</f>
        <v>13.800000000000011</v>
      </c>
      <c r="H68">
        <f t="shared" si="8"/>
        <v>190.44000000000031</v>
      </c>
      <c r="I68">
        <f t="shared" si="9"/>
        <v>29.67000000000003</v>
      </c>
      <c r="J68">
        <f t="shared" si="10"/>
        <v>265.07907596623721</v>
      </c>
      <c r="K68">
        <f t="shared" si="11"/>
        <v>-3.0790759662372125</v>
      </c>
      <c r="L68">
        <f t="shared" si="12"/>
        <v>9.4807088058596243</v>
      </c>
      <c r="M68">
        <f t="shared" si="13"/>
        <v>0.52670604476997918</v>
      </c>
    </row>
    <row r="69" spans="1:13" x14ac:dyDescent="0.3">
      <c r="A69">
        <v>16</v>
      </c>
      <c r="B69">
        <v>20</v>
      </c>
      <c r="C69">
        <v>275</v>
      </c>
      <c r="D69">
        <f t="shared" si="6"/>
        <v>400</v>
      </c>
      <c r="E69">
        <f>B69-B75</f>
        <v>4.1500000000000004</v>
      </c>
      <c r="F69">
        <f t="shared" si="7"/>
        <v>17.222500000000004</v>
      </c>
      <c r="G69">
        <f>C69-C75</f>
        <v>26.800000000000011</v>
      </c>
      <c r="H69">
        <f t="shared" si="8"/>
        <v>718.24000000000058</v>
      </c>
      <c r="I69">
        <f t="shared" si="9"/>
        <v>111.22000000000006</v>
      </c>
      <c r="J69">
        <f t="shared" si="10"/>
        <v>280.78054198134163</v>
      </c>
      <c r="K69">
        <f t="shared" si="11"/>
        <v>-5.7805419813416279</v>
      </c>
      <c r="L69">
        <f t="shared" si="12"/>
        <v>33.414665598052991</v>
      </c>
      <c r="M69">
        <f t="shared" si="13"/>
        <v>1.8563703110029439</v>
      </c>
    </row>
    <row r="70" spans="1:13" x14ac:dyDescent="0.3">
      <c r="A70">
        <v>17</v>
      </c>
      <c r="B70">
        <v>12</v>
      </c>
      <c r="C70">
        <v>211</v>
      </c>
      <c r="D70">
        <f t="shared" si="6"/>
        <v>144</v>
      </c>
      <c r="E70">
        <f>B70-B75</f>
        <v>-3.8499999999999996</v>
      </c>
      <c r="F70">
        <f t="shared" si="7"/>
        <v>14.822499999999998</v>
      </c>
      <c r="G70">
        <f>C70-C75</f>
        <v>-37.199999999999989</v>
      </c>
      <c r="H70">
        <f t="shared" si="8"/>
        <v>1383.8399999999992</v>
      </c>
      <c r="I70">
        <f t="shared" si="9"/>
        <v>143.21999999999994</v>
      </c>
      <c r="J70">
        <f t="shared" si="10"/>
        <v>217.97467792092402</v>
      </c>
      <c r="K70">
        <f t="shared" si="11"/>
        <v>-6.9746779209240231</v>
      </c>
      <c r="L70">
        <f t="shared" si="12"/>
        <v>48.646132100625053</v>
      </c>
      <c r="M70">
        <f t="shared" si="13"/>
        <v>2.7025628944791698</v>
      </c>
    </row>
    <row r="71" spans="1:13" x14ac:dyDescent="0.3">
      <c r="A71">
        <v>18</v>
      </c>
      <c r="B71">
        <v>13</v>
      </c>
      <c r="C71">
        <v>229</v>
      </c>
      <c r="D71">
        <f t="shared" si="6"/>
        <v>169</v>
      </c>
      <c r="E71">
        <f>B71-B75</f>
        <v>-2.8499999999999996</v>
      </c>
      <c r="F71">
        <f t="shared" si="7"/>
        <v>8.1224999999999987</v>
      </c>
      <c r="G71">
        <f>C71-C75</f>
        <v>-19.199999999999989</v>
      </c>
      <c r="H71">
        <f t="shared" si="8"/>
        <v>368.63999999999959</v>
      </c>
      <c r="I71">
        <f t="shared" si="9"/>
        <v>54.719999999999963</v>
      </c>
      <c r="J71">
        <f t="shared" si="10"/>
        <v>225.82541092847623</v>
      </c>
      <c r="K71">
        <f t="shared" si="11"/>
        <v>3.1745890715237692</v>
      </c>
      <c r="L71">
        <f t="shared" si="12"/>
        <v>10.078015773038148</v>
      </c>
      <c r="M71">
        <f t="shared" si="13"/>
        <v>0.55988976516878597</v>
      </c>
    </row>
    <row r="72" spans="1:13" x14ac:dyDescent="0.3">
      <c r="A72">
        <v>19</v>
      </c>
      <c r="B72">
        <v>12</v>
      </c>
      <c r="C72">
        <v>218</v>
      </c>
      <c r="D72">
        <f t="shared" si="6"/>
        <v>144</v>
      </c>
      <c r="E72">
        <f>B72-B75</f>
        <v>-3.8499999999999996</v>
      </c>
      <c r="F72">
        <f t="shared" si="7"/>
        <v>14.822499999999998</v>
      </c>
      <c r="G72">
        <f>C72-C75</f>
        <v>-30.199999999999989</v>
      </c>
      <c r="H72">
        <f t="shared" si="8"/>
        <v>912.03999999999928</v>
      </c>
      <c r="I72">
        <f t="shared" si="9"/>
        <v>116.26999999999994</v>
      </c>
      <c r="J72">
        <f t="shared" si="10"/>
        <v>217.97467792092402</v>
      </c>
      <c r="K72">
        <f t="shared" si="11"/>
        <v>2.5322079075976944E-2</v>
      </c>
      <c r="L72">
        <f t="shared" si="12"/>
        <v>6.4120768873002936E-4</v>
      </c>
      <c r="M72">
        <f t="shared" si="13"/>
        <v>3.5622649373890522E-5</v>
      </c>
    </row>
    <row r="73" spans="1:13" x14ac:dyDescent="0.3">
      <c r="A73">
        <v>20</v>
      </c>
      <c r="B73">
        <v>14</v>
      </c>
      <c r="C73">
        <v>232</v>
      </c>
      <c r="D73">
        <f t="shared" si="6"/>
        <v>196</v>
      </c>
      <c r="E73">
        <f>B73-B75</f>
        <v>-1.8499999999999996</v>
      </c>
      <c r="F73">
        <f t="shared" si="7"/>
        <v>3.4224999999999985</v>
      </c>
      <c r="G73">
        <f>C73-C75</f>
        <v>-16.199999999999989</v>
      </c>
      <c r="H73">
        <f t="shared" si="8"/>
        <v>262.43999999999966</v>
      </c>
      <c r="I73">
        <f t="shared" si="9"/>
        <v>29.969999999999974</v>
      </c>
      <c r="J73">
        <f t="shared" si="10"/>
        <v>233.67614393602844</v>
      </c>
      <c r="K73">
        <f t="shared" si="11"/>
        <v>-1.6761439360284385</v>
      </c>
      <c r="L73">
        <f t="shared" si="12"/>
        <v>2.8094584942849061</v>
      </c>
      <c r="M73">
        <f t="shared" si="13"/>
        <v>0.15608102746027255</v>
      </c>
    </row>
    <row r="74" spans="1:13" x14ac:dyDescent="0.3">
      <c r="A74" s="3" t="s">
        <v>19</v>
      </c>
      <c r="B74" s="3">
        <f>SUM(B54:B73)</f>
        <v>317</v>
      </c>
      <c r="C74" s="3">
        <f>SUM(C54:C73)</f>
        <v>4964</v>
      </c>
      <c r="D74" s="3">
        <f>SUM(D54:D73)</f>
        <v>5137</v>
      </c>
      <c r="E74" s="3">
        <f>SUM(E54:E73)</f>
        <v>7.1054273576010019E-15</v>
      </c>
      <c r="F74" s="3">
        <f t="shared" ref="F74" si="14">SUM(F54:F73)</f>
        <v>112.55</v>
      </c>
      <c r="G74" s="3">
        <f t="shared" ref="G74" si="15">SUM(G54:G73)</f>
        <v>2.2737367544323206E-13</v>
      </c>
      <c r="H74" s="3">
        <f t="shared" ref="H74" si="16">SUM(H54:H73)</f>
        <v>8287.2000000000007</v>
      </c>
      <c r="I74" s="3">
        <f t="shared" ref="I74" si="17">SUM(I54:I73)</f>
        <v>883.6</v>
      </c>
      <c r="J74" s="3">
        <f t="shared" ref="J74" si="18">SUM(J54:J73)</f>
        <v>4964.0000000000018</v>
      </c>
      <c r="K74" s="3">
        <f t="shared" ref="K74" si="19">SUM(K54:K73)</f>
        <v>1.1368683772161603E-13</v>
      </c>
      <c r="L74" s="3">
        <f t="shared" ref="L74" si="20">SUM(L54:L73)</f>
        <v>1350.2923145268758</v>
      </c>
      <c r="M74" s="3">
        <f t="shared" ref="M74" si="21">SUM(M54:M73)</f>
        <v>75.016239695937557</v>
      </c>
    </row>
    <row r="75" spans="1:13" x14ac:dyDescent="0.3">
      <c r="A75" s="3" t="s">
        <v>18</v>
      </c>
      <c r="B75" s="3">
        <f>AVERAGE(B54:B73)</f>
        <v>15.85</v>
      </c>
      <c r="C75" s="3">
        <f>AVERAGE(C54:C73)</f>
        <v>248.2</v>
      </c>
      <c r="D75" s="3">
        <f>AVERAGE(D54:D73)</f>
        <v>256.85000000000002</v>
      </c>
      <c r="E75" s="3">
        <f>AVERAGE(E54:E73)</f>
        <v>3.5527136788005011E-16</v>
      </c>
      <c r="F75" s="3">
        <f t="shared" ref="F75:M75" si="22">AVERAGE(F54:F73)</f>
        <v>5.6274999999999995</v>
      </c>
      <c r="G75" s="3">
        <f t="shared" si="22"/>
        <v>1.1368683772161604E-14</v>
      </c>
      <c r="H75" s="3">
        <f t="shared" si="22"/>
        <v>414.36</v>
      </c>
      <c r="I75" s="3">
        <f t="shared" si="22"/>
        <v>44.18</v>
      </c>
      <c r="J75" s="3">
        <f t="shared" si="22"/>
        <v>248.2000000000001</v>
      </c>
      <c r="K75" s="3">
        <f t="shared" si="22"/>
        <v>5.6843418860808018E-15</v>
      </c>
      <c r="L75" s="3">
        <f t="shared" si="22"/>
        <v>67.514615726343791</v>
      </c>
      <c r="M75" s="3">
        <f t="shared" si="22"/>
        <v>3.7508119847968779</v>
      </c>
    </row>
    <row r="76" spans="1:13" s="2" customFormat="1" x14ac:dyDescent="0.3"/>
    <row r="77" spans="1:13" x14ac:dyDescent="0.3">
      <c r="A77" s="1" t="s">
        <v>33</v>
      </c>
    </row>
    <row r="78" spans="1:13" x14ac:dyDescent="0.3">
      <c r="A78" t="s">
        <v>32</v>
      </c>
    </row>
    <row r="79" spans="1:13" x14ac:dyDescent="0.3">
      <c r="A79" t="s">
        <v>34</v>
      </c>
    </row>
    <row r="80" spans="1:13" x14ac:dyDescent="0.3">
      <c r="A80" s="7" t="s">
        <v>35</v>
      </c>
      <c r="B80" s="8">
        <f>(M74)/(20*(D75-B75*B75))</f>
        <v>0.66651479072356468</v>
      </c>
    </row>
    <row r="81" spans="1:14" x14ac:dyDescent="0.3">
      <c r="A81" s="7" t="s">
        <v>36</v>
      </c>
      <c r="B81" s="8">
        <f>B80*(D75)</f>
        <v>171.1943239973476</v>
      </c>
    </row>
    <row r="82" spans="1:14" s="2" customFormat="1" x14ac:dyDescent="0.3"/>
    <row r="83" spans="1:14" x14ac:dyDescent="0.3">
      <c r="A83" s="1" t="s">
        <v>45</v>
      </c>
    </row>
    <row r="84" spans="1:14" x14ac:dyDescent="0.3">
      <c r="A84" s="9" t="s">
        <v>37</v>
      </c>
      <c r="B84" s="10" t="s">
        <v>40</v>
      </c>
      <c r="C84" s="10" t="s">
        <v>41</v>
      </c>
      <c r="D84" s="10" t="s">
        <v>44</v>
      </c>
      <c r="E84" s="10" t="s">
        <v>46</v>
      </c>
      <c r="F84" s="10" t="s">
        <v>47</v>
      </c>
      <c r="G84" s="10" t="s">
        <v>48</v>
      </c>
      <c r="H84" s="10" t="s">
        <v>49</v>
      </c>
    </row>
    <row r="85" spans="1:14" x14ac:dyDescent="0.3">
      <c r="A85" s="5">
        <v>0.9</v>
      </c>
      <c r="B85" s="5">
        <f>TINV(1-A85,18)</f>
        <v>1.7340636066175394</v>
      </c>
      <c r="C85" t="s">
        <v>38</v>
      </c>
      <c r="D85" t="s">
        <v>38</v>
      </c>
      <c r="E85">
        <f>D49-B85*SQRT(B80)</f>
        <v>6.4350372867876047</v>
      </c>
      <c r="F85">
        <f>D49+B85*SQRT(B80)</f>
        <v>9.2664287283167948</v>
      </c>
      <c r="G85">
        <f>D50-B85*SQRT(B81)</f>
        <v>101.0771770433719</v>
      </c>
      <c r="H85">
        <f>D50+B85*SQRT(B81)</f>
        <v>146.45458661722336</v>
      </c>
      <c r="J85" t="s">
        <v>39</v>
      </c>
      <c r="M85" t="s">
        <v>42</v>
      </c>
      <c r="N85">
        <f>(D49/SQRT(B80))</f>
        <v>9.6162404067413547</v>
      </c>
    </row>
    <row r="86" spans="1:14" x14ac:dyDescent="0.3">
      <c r="A86" s="5">
        <v>0.95</v>
      </c>
      <c r="B86" s="5">
        <f t="shared" ref="B86:B87" si="23">TINV(1-A86,18)</f>
        <v>2.1009220402410378</v>
      </c>
      <c r="C86" t="s">
        <v>38</v>
      </c>
      <c r="D86" t="s">
        <v>38</v>
      </c>
      <c r="E86">
        <f>D49-B86*SQRT(B80)</f>
        <v>6.1355327515299551</v>
      </c>
      <c r="F86">
        <f>D49+B86*SQRT(B80)</f>
        <v>9.5659332635744434</v>
      </c>
      <c r="G86">
        <f>D50-B86*SQRT(B81)</f>
        <v>96.27715548285174</v>
      </c>
      <c r="H86">
        <f>D50+B86*SQRT(B81)</f>
        <v>151.25460817774353</v>
      </c>
      <c r="J86" t="s">
        <v>39</v>
      </c>
      <c r="M86" t="s">
        <v>43</v>
      </c>
      <c r="N86">
        <f>(D50/SQRT(B81))</f>
        <v>9.4592403329483474</v>
      </c>
    </row>
    <row r="87" spans="1:14" x14ac:dyDescent="0.3">
      <c r="A87" s="5">
        <v>0.99</v>
      </c>
      <c r="B87" s="5">
        <f t="shared" si="23"/>
        <v>2.8784404727386073</v>
      </c>
      <c r="C87" t="s">
        <v>38</v>
      </c>
      <c r="D87" t="s">
        <v>38</v>
      </c>
      <c r="E87">
        <f>D49-B87*SQRT(B80)</f>
        <v>5.5007639267291824</v>
      </c>
      <c r="F87">
        <f>D49+B87*SQRT(B80)</f>
        <v>10.200702088375216</v>
      </c>
      <c r="G87">
        <f>D50-B87*SQRT(B81)</f>
        <v>86.104007211929385</v>
      </c>
      <c r="H87">
        <f>D50+B87*SQRT(B81)</f>
        <v>161.42775644866589</v>
      </c>
      <c r="J87" t="s">
        <v>39</v>
      </c>
    </row>
    <row r="88" spans="1:14" s="2" customFormat="1" x14ac:dyDescent="0.3"/>
    <row r="89" spans="1:14" x14ac:dyDescent="0.3">
      <c r="A89" s="1" t="s">
        <v>50</v>
      </c>
    </row>
    <row r="90" spans="1:14" ht="15" x14ac:dyDescent="0.35">
      <c r="A90" t="s">
        <v>51</v>
      </c>
      <c r="B90">
        <f>1-L74/H74</f>
        <v>0.83706290248493154</v>
      </c>
      <c r="C90" t="s">
        <v>53</v>
      </c>
    </row>
    <row r="91" spans="1:14" x14ac:dyDescent="0.3">
      <c r="C91" t="s">
        <v>54</v>
      </c>
    </row>
    <row r="92" spans="1:14" x14ac:dyDescent="0.3">
      <c r="C92" t="s">
        <v>52</v>
      </c>
    </row>
    <row r="93" spans="1:14" s="2" customFormat="1" x14ac:dyDescent="0.3"/>
    <row r="94" spans="1:14" x14ac:dyDescent="0.3">
      <c r="A94" s="1" t="s">
        <v>57</v>
      </c>
    </row>
    <row r="95" spans="1:14" x14ac:dyDescent="0.3">
      <c r="A95" s="9" t="s">
        <v>37</v>
      </c>
      <c r="B95" s="10"/>
      <c r="C95" s="10" t="s">
        <v>55</v>
      </c>
    </row>
    <row r="96" spans="1:14" x14ac:dyDescent="0.3">
      <c r="A96" s="5">
        <v>0.9</v>
      </c>
      <c r="B96" s="5">
        <f>FINV(1-A96,2,18)</f>
        <v>2.6239469851339554</v>
      </c>
      <c r="C96" s="5" t="s">
        <v>38</v>
      </c>
      <c r="G96" t="s">
        <v>56</v>
      </c>
      <c r="H96">
        <f>(B90/(1-B90))*18</f>
        <v>92.472079560244737</v>
      </c>
    </row>
    <row r="97" spans="1:8" x14ac:dyDescent="0.3">
      <c r="A97" s="5">
        <v>0.95</v>
      </c>
      <c r="B97" s="5">
        <f t="shared" ref="B97" si="24">FINV(1-A97,2,18)</f>
        <v>3.5545571456617857</v>
      </c>
      <c r="C97" s="5" t="s">
        <v>38</v>
      </c>
    </row>
    <row r="98" spans="1:8" x14ac:dyDescent="0.3">
      <c r="A98" s="5">
        <v>0.99</v>
      </c>
      <c r="B98" s="5">
        <f>FINV(1-A98,2,18)</f>
        <v>6.0129048348005281</v>
      </c>
      <c r="C98" s="5" t="s">
        <v>38</v>
      </c>
    </row>
    <row r="99" spans="1:8" s="2" customFormat="1" x14ac:dyDescent="0.3"/>
    <row r="100" spans="1:8" x14ac:dyDescent="0.3">
      <c r="A100" s="1" t="s">
        <v>66</v>
      </c>
    </row>
    <row r="101" spans="1:8" x14ac:dyDescent="0.3">
      <c r="A101" t="s">
        <v>58</v>
      </c>
      <c r="B101" t="s">
        <v>59</v>
      </c>
      <c r="C101" s="5" t="s">
        <v>60</v>
      </c>
      <c r="D101" t="s">
        <v>61</v>
      </c>
      <c r="E101" s="5" t="s">
        <v>62</v>
      </c>
      <c r="F101" t="s">
        <v>63</v>
      </c>
      <c r="G101" s="5" t="s">
        <v>64</v>
      </c>
      <c r="H101" t="s">
        <v>65</v>
      </c>
    </row>
    <row r="102" spans="1:8" x14ac:dyDescent="0.3">
      <c r="A102">
        <v>12</v>
      </c>
      <c r="B102">
        <f>$D$50+$D$49*A102</f>
        <v>217.97467792092402</v>
      </c>
      <c r="C102">
        <f>B102-$B$85*SQRT($M$74)*SQRT(1/20+((A102-$B$75)^2)/$F$74)</f>
        <v>211.57266457010775</v>
      </c>
      <c r="D102">
        <f>B102+$B$85*SQRT($M$74)*SQRT(1/20+((A102-$B$75)^2)/$F$74)</f>
        <v>224.3766912717403</v>
      </c>
      <c r="E102">
        <f>B102-$B$86*SQRT($M$74)*SQRT(1/20+((A102-$B$75)^2)/$F$74)</f>
        <v>210.21825485817195</v>
      </c>
      <c r="F102">
        <f>B102+$B$86*SQRT($M$74)*SQRT(1/20+((A102-$B$75)^2)/$F$74)</f>
        <v>225.7311009836761</v>
      </c>
      <c r="G102">
        <f>B102-$B$87*SQRT($M$74)*SQRT(1/20+((A102-$B$75)^2)/$F$74)</f>
        <v>207.34772383130573</v>
      </c>
      <c r="H102">
        <f>B102+$B$87*SQRT($M$74)*SQRT(1/20+((A102-$B$75)^2)/$F$74)</f>
        <v>228.60163201054232</v>
      </c>
    </row>
    <row r="103" spans="1:8" x14ac:dyDescent="0.3">
      <c r="A103">
        <v>13</v>
      </c>
      <c r="B103">
        <f t="shared" ref="B103:B110" si="25">$D$50+$D$49*A103</f>
        <v>225.82541092847623</v>
      </c>
      <c r="C103">
        <f t="shared" ref="C103:C110" si="26">B103-$B$85*SQRT($M$74)*SQRT(1/20+((A103-$B$75)^2)/$F$74)</f>
        <v>220.57587069721512</v>
      </c>
      <c r="D103">
        <f t="shared" ref="D103:D110" si="27">B103+$B$85*SQRT($M$74)*SQRT(1/20+((A103-$B$75)^2)/$F$74)</f>
        <v>231.07495115973734</v>
      </c>
      <c r="E103">
        <f t="shared" ref="E103:E110" si="28">B103-$B$86*SQRT($M$74)*SQRT(1/20+((A103-$B$75)^2)/$F$74)</f>
        <v>219.46527815658709</v>
      </c>
      <c r="F103">
        <f t="shared" ref="F103:F110" si="29">B103+$B$86*SQRT($M$74)*SQRT(1/20+((A103-$B$75)^2)/$F$74)</f>
        <v>232.18554370036537</v>
      </c>
      <c r="G103">
        <f t="shared" ref="G103:G110" si="30">B103-$B$87*SQRT($M$74)*SQRT(1/20+((A103-$B$75)^2)/$F$74)</f>
        <v>217.1114923575156</v>
      </c>
      <c r="H103">
        <f t="shared" ref="H103:H110" si="31">B103+$B$87*SQRT($M$74)*SQRT(1/20+((A103-$B$75)^2)/$F$74)</f>
        <v>234.53932949943686</v>
      </c>
    </row>
    <row r="104" spans="1:8" x14ac:dyDescent="0.3">
      <c r="A104">
        <v>14</v>
      </c>
      <c r="B104">
        <f t="shared" si="25"/>
        <v>233.67614393602844</v>
      </c>
      <c r="C104">
        <f t="shared" si="26"/>
        <v>229.41727564940459</v>
      </c>
      <c r="D104">
        <f t="shared" si="27"/>
        <v>237.93501222265229</v>
      </c>
      <c r="E104">
        <f t="shared" si="28"/>
        <v>228.51626962939633</v>
      </c>
      <c r="F104">
        <f t="shared" si="29"/>
        <v>238.83601824266054</v>
      </c>
      <c r="G104">
        <f t="shared" si="30"/>
        <v>226.60668074131138</v>
      </c>
      <c r="H104">
        <f t="shared" si="31"/>
        <v>240.7456071307455</v>
      </c>
    </row>
    <row r="105" spans="1:8" x14ac:dyDescent="0.3">
      <c r="A105">
        <v>15</v>
      </c>
      <c r="B105">
        <f t="shared" si="25"/>
        <v>241.52687694358065</v>
      </c>
      <c r="C105">
        <f t="shared" si="26"/>
        <v>237.95943608582644</v>
      </c>
      <c r="D105">
        <f t="shared" si="27"/>
        <v>245.09431780133485</v>
      </c>
      <c r="E105">
        <f t="shared" si="28"/>
        <v>237.2047084275527</v>
      </c>
      <c r="F105">
        <f t="shared" si="29"/>
        <v>245.84904545960859</v>
      </c>
      <c r="G105">
        <f t="shared" si="30"/>
        <v>235.60514136832623</v>
      </c>
      <c r="H105">
        <f t="shared" si="31"/>
        <v>247.44861251883506</v>
      </c>
    </row>
    <row r="106" spans="1:8" x14ac:dyDescent="0.3">
      <c r="A106">
        <v>16</v>
      </c>
      <c r="B106">
        <f t="shared" si="25"/>
        <v>249.37760995113283</v>
      </c>
      <c r="C106">
        <f t="shared" si="26"/>
        <v>246.01253963806056</v>
      </c>
      <c r="D106">
        <f t="shared" si="27"/>
        <v>252.74268026420509</v>
      </c>
      <c r="E106">
        <f t="shared" si="28"/>
        <v>245.30062548486831</v>
      </c>
      <c r="F106">
        <f t="shared" si="29"/>
        <v>253.45459441739735</v>
      </c>
      <c r="G106">
        <f t="shared" si="30"/>
        <v>243.79179721289529</v>
      </c>
      <c r="H106">
        <f t="shared" si="31"/>
        <v>254.96342268937036</v>
      </c>
    </row>
    <row r="107" spans="1:8" x14ac:dyDescent="0.3">
      <c r="A107">
        <v>17</v>
      </c>
      <c r="B107">
        <f t="shared" si="25"/>
        <v>257.228342958685</v>
      </c>
      <c r="C107">
        <f t="shared" si="26"/>
        <v>253.49616518989521</v>
      </c>
      <c r="D107">
        <f t="shared" si="27"/>
        <v>260.96052072747483</v>
      </c>
      <c r="E107">
        <f t="shared" si="28"/>
        <v>252.70658579670709</v>
      </c>
      <c r="F107">
        <f t="shared" si="29"/>
        <v>261.75010012066292</v>
      </c>
      <c r="G107">
        <f t="shared" si="30"/>
        <v>251.03315409701756</v>
      </c>
      <c r="H107">
        <f t="shared" si="31"/>
        <v>263.42353182035242</v>
      </c>
    </row>
    <row r="108" spans="1:8" x14ac:dyDescent="0.3">
      <c r="A108">
        <v>18</v>
      </c>
      <c r="B108">
        <f t="shared" si="25"/>
        <v>265.07907596623721</v>
      </c>
      <c r="C108">
        <f t="shared" si="26"/>
        <v>260.54663817500835</v>
      </c>
      <c r="D108">
        <f t="shared" si="27"/>
        <v>269.61151375746607</v>
      </c>
      <c r="E108">
        <f t="shared" si="28"/>
        <v>259.58775580054368</v>
      </c>
      <c r="F108">
        <f t="shared" si="29"/>
        <v>270.57039613193075</v>
      </c>
      <c r="G108">
        <f t="shared" si="30"/>
        <v>257.55550397691934</v>
      </c>
      <c r="H108">
        <f t="shared" si="31"/>
        <v>272.60264795555508</v>
      </c>
    </row>
    <row r="109" spans="1:8" x14ac:dyDescent="0.3">
      <c r="A109">
        <v>19</v>
      </c>
      <c r="B109">
        <f t="shared" si="25"/>
        <v>272.92980897378942</v>
      </c>
      <c r="C109">
        <f t="shared" si="26"/>
        <v>267.34722690878999</v>
      </c>
      <c r="D109">
        <f t="shared" si="27"/>
        <v>278.51239103878885</v>
      </c>
      <c r="E109">
        <f t="shared" si="28"/>
        <v>266.16617604991455</v>
      </c>
      <c r="F109">
        <f t="shared" si="29"/>
        <v>279.69344189766429</v>
      </c>
      <c r="G109">
        <f t="shared" si="30"/>
        <v>263.66306114691855</v>
      </c>
      <c r="H109">
        <f t="shared" si="31"/>
        <v>282.19655680066029</v>
      </c>
    </row>
    <row r="110" spans="1:8" x14ac:dyDescent="0.3">
      <c r="A110">
        <v>20</v>
      </c>
      <c r="B110">
        <f t="shared" si="25"/>
        <v>280.78054198134163</v>
      </c>
      <c r="C110">
        <f t="shared" si="26"/>
        <v>274.0132795037124</v>
      </c>
      <c r="D110">
        <f t="shared" si="27"/>
        <v>287.54780445897086</v>
      </c>
      <c r="E110">
        <f t="shared" si="28"/>
        <v>272.58159769977624</v>
      </c>
      <c r="F110">
        <f t="shared" si="29"/>
        <v>288.97948626290702</v>
      </c>
      <c r="G110">
        <f t="shared" si="30"/>
        <v>269.54729648162817</v>
      </c>
      <c r="H110">
        <f t="shared" si="31"/>
        <v>292.01378748105509</v>
      </c>
    </row>
    <row r="111" spans="1:8" s="2" customFormat="1" x14ac:dyDescent="0.3"/>
    <row r="112" spans="1:8" x14ac:dyDescent="0.3">
      <c r="A112" s="1" t="s">
        <v>67</v>
      </c>
    </row>
    <row r="148" spans="1:1" s="2" customFormat="1" x14ac:dyDescent="0.3"/>
    <row r="149" spans="1:1" x14ac:dyDescent="0.3">
      <c r="A149" s="1" t="s">
        <v>68</v>
      </c>
    </row>
    <row r="167" spans="1:1" ht="15" x14ac:dyDescent="0.3">
      <c r="A167" s="12"/>
    </row>
    <row r="168" spans="1:1" x14ac:dyDescent="0.3">
      <c r="A168" t="s">
        <v>69</v>
      </c>
    </row>
    <row r="169" spans="1:1" x14ac:dyDescent="0.3">
      <c r="A169" t="s">
        <v>70</v>
      </c>
    </row>
    <row r="170" spans="1:1" x14ac:dyDescent="0.3">
      <c r="A170" t="s">
        <v>71</v>
      </c>
    </row>
    <row r="172" spans="1:1" ht="15" x14ac:dyDescent="0.35">
      <c r="A172" s="1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74FD-7E7B-4182-AA7B-C767C55BDC29}">
  <dimension ref="A1:S73"/>
  <sheetViews>
    <sheetView tabSelected="1" topLeftCell="A37" workbookViewId="0">
      <selection activeCell="F14" sqref="F14"/>
    </sheetView>
  </sheetViews>
  <sheetFormatPr defaultRowHeight="14.4" x14ac:dyDescent="0.3"/>
  <cols>
    <col min="11" max="20" width="40.21875" customWidth="1"/>
  </cols>
  <sheetData>
    <row r="1" spans="1:19" x14ac:dyDescent="0.3">
      <c r="A1">
        <v>14</v>
      </c>
      <c r="B1">
        <v>222</v>
      </c>
      <c r="K1" t="s">
        <v>72</v>
      </c>
    </row>
    <row r="2" spans="1:19" ht="15" thickBot="1" x14ac:dyDescent="0.35">
      <c r="A2">
        <v>16</v>
      </c>
      <c r="B2">
        <v>241</v>
      </c>
    </row>
    <row r="3" spans="1:19" x14ac:dyDescent="0.3">
      <c r="A3">
        <v>17</v>
      </c>
      <c r="B3">
        <v>243</v>
      </c>
      <c r="K3" s="16" t="s">
        <v>73</v>
      </c>
      <c r="L3" s="16"/>
    </row>
    <row r="4" spans="1:19" x14ac:dyDescent="0.3">
      <c r="A4">
        <v>19</v>
      </c>
      <c r="B4">
        <v>285</v>
      </c>
      <c r="K4" s="13" t="s">
        <v>74</v>
      </c>
      <c r="L4" s="13">
        <v>0.91491141783504448</v>
      </c>
    </row>
    <row r="5" spans="1:19" x14ac:dyDescent="0.3">
      <c r="A5">
        <v>18</v>
      </c>
      <c r="B5">
        <v>253</v>
      </c>
      <c r="K5" s="13" t="s">
        <v>75</v>
      </c>
      <c r="L5" s="13">
        <v>0.83706290248493131</v>
      </c>
    </row>
    <row r="6" spans="1:19" x14ac:dyDescent="0.3">
      <c r="A6">
        <v>15</v>
      </c>
      <c r="B6">
        <v>247</v>
      </c>
      <c r="K6" s="13" t="s">
        <v>76</v>
      </c>
      <c r="L6" s="13">
        <v>0.82801084151187199</v>
      </c>
    </row>
    <row r="7" spans="1:19" x14ac:dyDescent="0.3">
      <c r="A7">
        <v>14</v>
      </c>
      <c r="B7">
        <v>246</v>
      </c>
      <c r="K7" s="13" t="s">
        <v>77</v>
      </c>
      <c r="L7" s="13">
        <v>8.6611915863775693</v>
      </c>
    </row>
    <row r="8" spans="1:19" ht="15" thickBot="1" x14ac:dyDescent="0.35">
      <c r="A8">
        <v>18</v>
      </c>
      <c r="B8">
        <v>276</v>
      </c>
      <c r="K8" s="14" t="s">
        <v>78</v>
      </c>
      <c r="L8" s="14">
        <v>20</v>
      </c>
    </row>
    <row r="9" spans="1:19" x14ac:dyDescent="0.3">
      <c r="A9">
        <v>17</v>
      </c>
      <c r="B9">
        <v>261</v>
      </c>
    </row>
    <row r="10" spans="1:19" ht="15" thickBot="1" x14ac:dyDescent="0.35">
      <c r="A10">
        <v>15</v>
      </c>
      <c r="B10">
        <v>254</v>
      </c>
      <c r="K10" t="s">
        <v>79</v>
      </c>
    </row>
    <row r="11" spans="1:19" x14ac:dyDescent="0.3">
      <c r="A11">
        <v>13</v>
      </c>
      <c r="B11">
        <v>229</v>
      </c>
      <c r="K11" s="15"/>
      <c r="L11" s="15" t="s">
        <v>84</v>
      </c>
      <c r="M11" s="15" t="s">
        <v>85</v>
      </c>
      <c r="N11" s="15" t="s">
        <v>86</v>
      </c>
      <c r="O11" s="15" t="s">
        <v>87</v>
      </c>
      <c r="P11" s="15" t="s">
        <v>88</v>
      </c>
    </row>
    <row r="12" spans="1:19" x14ac:dyDescent="0.3">
      <c r="A12">
        <v>16</v>
      </c>
      <c r="B12">
        <v>249</v>
      </c>
      <c r="K12" s="13" t="s">
        <v>80</v>
      </c>
      <c r="L12" s="13">
        <v>1</v>
      </c>
      <c r="M12" s="13">
        <v>6936.9076854731238</v>
      </c>
      <c r="N12" s="13">
        <v>6936.9076854731238</v>
      </c>
      <c r="O12" s="13">
        <v>92.472079560244637</v>
      </c>
      <c r="P12" s="13">
        <v>1.6253134755728169E-8</v>
      </c>
    </row>
    <row r="13" spans="1:19" x14ac:dyDescent="0.3">
      <c r="A13">
        <v>17</v>
      </c>
      <c r="B13">
        <v>252</v>
      </c>
      <c r="K13" s="13" t="s">
        <v>81</v>
      </c>
      <c r="L13" s="13">
        <v>18</v>
      </c>
      <c r="M13" s="13">
        <v>1350.2923145268769</v>
      </c>
      <c r="N13" s="13">
        <v>75.0162396959376</v>
      </c>
      <c r="O13" s="13"/>
      <c r="P13" s="13"/>
    </row>
    <row r="14" spans="1:19" ht="15" thickBot="1" x14ac:dyDescent="0.35">
      <c r="A14">
        <v>19</v>
      </c>
      <c r="B14">
        <v>279</v>
      </c>
      <c r="K14" s="14" t="s">
        <v>82</v>
      </c>
      <c r="L14" s="14">
        <v>19</v>
      </c>
      <c r="M14" s="14">
        <v>8287.2000000000007</v>
      </c>
      <c r="N14" s="14"/>
      <c r="O14" s="14"/>
      <c r="P14" s="14"/>
    </row>
    <row r="15" spans="1:19" ht="15" thickBot="1" x14ac:dyDescent="0.35">
      <c r="A15">
        <v>18</v>
      </c>
      <c r="B15">
        <v>262</v>
      </c>
    </row>
    <row r="16" spans="1:19" x14ac:dyDescent="0.3">
      <c r="A16">
        <v>20</v>
      </c>
      <c r="B16">
        <v>275</v>
      </c>
      <c r="K16" s="15"/>
      <c r="L16" s="15" t="s">
        <v>89</v>
      </c>
      <c r="M16" s="15" t="s">
        <v>77</v>
      </c>
      <c r="N16" s="15" t="s">
        <v>90</v>
      </c>
      <c r="O16" s="15" t="s">
        <v>91</v>
      </c>
      <c r="P16" s="15" t="s">
        <v>92</v>
      </c>
      <c r="Q16" s="15" t="s">
        <v>93</v>
      </c>
      <c r="R16" s="15" t="s">
        <v>94</v>
      </c>
      <c r="S16" s="15" t="s">
        <v>95</v>
      </c>
    </row>
    <row r="17" spans="1:19" x14ac:dyDescent="0.3">
      <c r="A17">
        <v>12</v>
      </c>
      <c r="B17">
        <v>211</v>
      </c>
      <c r="K17" s="13" t="s">
        <v>83</v>
      </c>
      <c r="L17" s="13">
        <v>123.76588183029763</v>
      </c>
      <c r="M17" s="13">
        <v>13.084124884658832</v>
      </c>
      <c r="N17" s="13">
        <v>9.4592403329483208</v>
      </c>
      <c r="O17" s="13">
        <v>2.0864463881585575E-8</v>
      </c>
      <c r="P17" s="13">
        <v>96.277155482851668</v>
      </c>
      <c r="Q17" s="13">
        <v>151.25460817774359</v>
      </c>
      <c r="R17" s="13">
        <v>96.277155482851668</v>
      </c>
      <c r="S17" s="13">
        <v>151.25460817774359</v>
      </c>
    </row>
    <row r="18" spans="1:19" ht="15" thickBot="1" x14ac:dyDescent="0.35">
      <c r="A18">
        <v>13</v>
      </c>
      <c r="B18">
        <v>229</v>
      </c>
      <c r="K18" s="14" t="s">
        <v>96</v>
      </c>
      <c r="L18" s="14">
        <v>7.8507330075521997</v>
      </c>
      <c r="M18" s="14">
        <v>0.81640357098898597</v>
      </c>
      <c r="N18" s="14">
        <v>9.6162404067413281</v>
      </c>
      <c r="O18" s="14">
        <v>1.6253134755728169E-8</v>
      </c>
      <c r="P18" s="14">
        <v>6.1355327515299507</v>
      </c>
      <c r="Q18" s="14">
        <v>9.5659332635744487</v>
      </c>
      <c r="R18" s="14">
        <v>6.1355327515299507</v>
      </c>
      <c r="S18" s="14">
        <v>9.5659332635744487</v>
      </c>
    </row>
    <row r="19" spans="1:19" x14ac:dyDescent="0.3">
      <c r="A19">
        <v>12</v>
      </c>
      <c r="B19">
        <v>218</v>
      </c>
    </row>
    <row r="20" spans="1:19" x14ac:dyDescent="0.3">
      <c r="A20">
        <v>14</v>
      </c>
      <c r="B20">
        <v>232</v>
      </c>
    </row>
    <row r="22" spans="1:19" x14ac:dyDescent="0.3">
      <c r="K22" t="s">
        <v>97</v>
      </c>
    </row>
    <row r="23" spans="1:19" ht="15" thickBot="1" x14ac:dyDescent="0.35"/>
    <row r="24" spans="1:19" x14ac:dyDescent="0.3">
      <c r="K24" s="15" t="s">
        <v>98</v>
      </c>
      <c r="L24" s="15" t="s">
        <v>99</v>
      </c>
      <c r="M24" s="15" t="s">
        <v>100</v>
      </c>
    </row>
    <row r="25" spans="1:19" x14ac:dyDescent="0.3">
      <c r="K25" s="13">
        <v>1</v>
      </c>
      <c r="L25" s="13">
        <v>233.67614393602844</v>
      </c>
      <c r="M25" s="13">
        <v>-11.676143936028438</v>
      </c>
    </row>
    <row r="26" spans="1:19" x14ac:dyDescent="0.3">
      <c r="K26" s="13">
        <v>2</v>
      </c>
      <c r="L26" s="13">
        <v>249.37760995113283</v>
      </c>
      <c r="M26" s="13">
        <v>-8.3776099511328255</v>
      </c>
    </row>
    <row r="27" spans="1:19" x14ac:dyDescent="0.3">
      <c r="K27" s="13">
        <v>3</v>
      </c>
      <c r="L27" s="13">
        <v>257.228342958685</v>
      </c>
      <c r="M27" s="13">
        <v>-14.228342958685005</v>
      </c>
    </row>
    <row r="28" spans="1:19" x14ac:dyDescent="0.3">
      <c r="K28" s="13">
        <v>4</v>
      </c>
      <c r="L28" s="13">
        <v>272.92980897378942</v>
      </c>
      <c r="M28" s="13">
        <v>12.07019102621058</v>
      </c>
    </row>
    <row r="29" spans="1:19" x14ac:dyDescent="0.3">
      <c r="K29" s="13">
        <v>5</v>
      </c>
      <c r="L29" s="13">
        <v>265.07907596623721</v>
      </c>
      <c r="M29" s="13">
        <v>-12.079075966237212</v>
      </c>
    </row>
    <row r="30" spans="1:19" x14ac:dyDescent="0.3">
      <c r="K30" s="13">
        <v>6</v>
      </c>
      <c r="L30" s="13">
        <v>241.52687694358065</v>
      </c>
      <c r="M30" s="13">
        <v>5.4731230564193538</v>
      </c>
    </row>
    <row r="31" spans="1:19" x14ac:dyDescent="0.3">
      <c r="K31" s="13">
        <v>7</v>
      </c>
      <c r="L31" s="13">
        <v>233.67614393602844</v>
      </c>
      <c r="M31" s="13">
        <v>12.323856063971562</v>
      </c>
    </row>
    <row r="32" spans="1:19" x14ac:dyDescent="0.3">
      <c r="K32" s="13">
        <v>8</v>
      </c>
      <c r="L32" s="13">
        <v>265.07907596623721</v>
      </c>
      <c r="M32" s="13">
        <v>10.920924033762788</v>
      </c>
    </row>
    <row r="33" spans="11:13" x14ac:dyDescent="0.3">
      <c r="K33" s="13">
        <v>9</v>
      </c>
      <c r="L33" s="13">
        <v>257.228342958685</v>
      </c>
      <c r="M33" s="13">
        <v>3.7716570413149952</v>
      </c>
    </row>
    <row r="34" spans="11:13" x14ac:dyDescent="0.3">
      <c r="K34" s="13">
        <v>10</v>
      </c>
      <c r="L34" s="13">
        <v>241.52687694358065</v>
      </c>
      <c r="M34" s="13">
        <v>12.473123056419354</v>
      </c>
    </row>
    <row r="35" spans="11:13" x14ac:dyDescent="0.3">
      <c r="K35" s="13">
        <v>11</v>
      </c>
      <c r="L35" s="13">
        <v>225.82541092847623</v>
      </c>
      <c r="M35" s="13">
        <v>3.1745890715237692</v>
      </c>
    </row>
    <row r="36" spans="11:13" x14ac:dyDescent="0.3">
      <c r="K36" s="13">
        <v>12</v>
      </c>
      <c r="L36" s="13">
        <v>249.37760995113283</v>
      </c>
      <c r="M36" s="13">
        <v>-0.37760995113282547</v>
      </c>
    </row>
    <row r="37" spans="11:13" x14ac:dyDescent="0.3">
      <c r="K37" s="13">
        <v>13</v>
      </c>
      <c r="L37" s="13">
        <v>257.228342958685</v>
      </c>
      <c r="M37" s="13">
        <v>-5.2283429586850048</v>
      </c>
    </row>
    <row r="38" spans="11:13" x14ac:dyDescent="0.3">
      <c r="K38" s="13">
        <v>14</v>
      </c>
      <c r="L38" s="13">
        <v>272.92980897378942</v>
      </c>
      <c r="M38" s="13">
        <v>6.0701910262105798</v>
      </c>
    </row>
    <row r="39" spans="11:13" x14ac:dyDescent="0.3">
      <c r="K39" s="13">
        <v>15</v>
      </c>
      <c r="L39" s="13">
        <v>265.07907596623721</v>
      </c>
      <c r="M39" s="13">
        <v>-3.0790759662372125</v>
      </c>
    </row>
    <row r="40" spans="11:13" x14ac:dyDescent="0.3">
      <c r="K40" s="13">
        <v>16</v>
      </c>
      <c r="L40" s="13">
        <v>280.78054198134163</v>
      </c>
      <c r="M40" s="13">
        <v>-5.7805419813416279</v>
      </c>
    </row>
    <row r="41" spans="11:13" x14ac:dyDescent="0.3">
      <c r="K41" s="13">
        <v>17</v>
      </c>
      <c r="L41" s="13">
        <v>217.97467792092402</v>
      </c>
      <c r="M41" s="13">
        <v>-6.9746779209240231</v>
      </c>
    </row>
    <row r="42" spans="11:13" x14ac:dyDescent="0.3">
      <c r="K42" s="13">
        <v>18</v>
      </c>
      <c r="L42" s="13">
        <v>225.82541092847623</v>
      </c>
      <c r="M42" s="13">
        <v>3.1745890715237692</v>
      </c>
    </row>
    <row r="43" spans="11:13" x14ac:dyDescent="0.3">
      <c r="K43" s="13">
        <v>19</v>
      </c>
      <c r="L43" s="13">
        <v>217.97467792092402</v>
      </c>
      <c r="M43" s="13">
        <v>2.5322079075976944E-2</v>
      </c>
    </row>
    <row r="44" spans="11:13" ht="15" thickBot="1" x14ac:dyDescent="0.35">
      <c r="K44" s="14">
        <v>20</v>
      </c>
      <c r="L44" s="14">
        <v>233.67614393602844</v>
      </c>
      <c r="M44" s="14">
        <v>-1.6761439360284385</v>
      </c>
    </row>
    <row r="70" spans="3:3" x14ac:dyDescent="0.3">
      <c r="C70" t="s">
        <v>101</v>
      </c>
    </row>
    <row r="71" spans="3:3" x14ac:dyDescent="0.3">
      <c r="C71" t="s">
        <v>102</v>
      </c>
    </row>
    <row r="72" spans="3:3" x14ac:dyDescent="0.3">
      <c r="C72" t="s">
        <v>103</v>
      </c>
    </row>
    <row r="73" spans="3:3" x14ac:dyDescent="0.3">
      <c r="C73" t="s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Dzmitry Leushukou</dc:creator>
  <cp:lastModifiedBy>Dzmitry Leushukou</cp:lastModifiedBy>
  <dcterms:created xsi:type="dcterms:W3CDTF">2026-03-09T20:18:43Z</dcterms:created>
  <dcterms:modified xsi:type="dcterms:W3CDTF">2026-03-25T10:09:49Z</dcterms:modified>
</cp:coreProperties>
</file>